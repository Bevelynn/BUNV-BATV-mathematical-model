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tbwi\Desktop\BUNV BATV manuscript plots\"/>
    </mc:Choice>
  </mc:AlternateContent>
  <xr:revisionPtr revIDLastSave="0" documentId="13_ncr:1_{B0F0510D-59DF-4889-A143-3E55460BF9DE}" xr6:coauthVersionLast="47" xr6:coauthVersionMax="47" xr10:uidLastSave="{00000000-0000-0000-0000-000000000000}"/>
  <bookViews>
    <workbookView xWindow="-120" yWindow="-16320" windowWidth="29040" windowHeight="15720" activeTab="15" xr2:uid="{00000000-000D-0000-FFFF-FFFF00000000}"/>
  </bookViews>
  <sheets>
    <sheet name="low MOI R1" sheetId="2" r:id="rId1"/>
    <sheet name="low MOI R2" sheetId="3" r:id="rId2"/>
    <sheet name="low MOI R3" sheetId="5" r:id="rId3"/>
    <sheet name="low MOI R4" sheetId="7" r:id="rId4"/>
    <sheet name="high MOI R1" sheetId="1" r:id="rId5"/>
    <sheet name="high MOI R2" sheetId="4" r:id="rId6"/>
    <sheet name="high MOI R3" sheetId="6" r:id="rId7"/>
    <sheet name="high MOI R4" sheetId="8" r:id="rId8"/>
    <sheet name="low MOI cell number" sheetId="15" r:id="rId9"/>
    <sheet name="high MOI cell number" sheetId="16" r:id="rId10"/>
    <sheet name="RNA S" sheetId="20" r:id="rId11"/>
    <sheet name="RNA M" sheetId="19" r:id="rId12"/>
    <sheet name="RNA L" sheetId="18" r:id="rId13"/>
    <sheet name="decay R1" sheetId="11" r:id="rId14"/>
    <sheet name="decay R2" sheetId="12" r:id="rId15"/>
    <sheet name="decay R3" sheetId="13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20" l="1"/>
  <c r="N22" i="20" s="1"/>
  <c r="K18" i="20"/>
  <c r="M18" i="20" s="1"/>
  <c r="K17" i="20"/>
  <c r="O17" i="20" s="1"/>
  <c r="K15" i="20"/>
  <c r="M15" i="20" s="1"/>
  <c r="K13" i="20"/>
  <c r="K12" i="20"/>
  <c r="M12" i="20" s="1"/>
  <c r="K11" i="20"/>
  <c r="M11" i="20" s="1"/>
  <c r="K10" i="20"/>
  <c r="K9" i="20"/>
  <c r="K8" i="20"/>
  <c r="K7" i="20"/>
  <c r="K5" i="20"/>
  <c r="K3" i="20"/>
  <c r="M3" i="20" s="1"/>
  <c r="K2" i="20"/>
  <c r="M2" i="20" s="1"/>
  <c r="K22" i="19"/>
  <c r="O22" i="19" s="1"/>
  <c r="K18" i="19"/>
  <c r="M18" i="19" s="1"/>
  <c r="K17" i="19"/>
  <c r="O17" i="19" s="1"/>
  <c r="K15" i="19"/>
  <c r="M15" i="19" s="1"/>
  <c r="K13" i="19"/>
  <c r="K12" i="19"/>
  <c r="M12" i="19" s="1"/>
  <c r="K11" i="19"/>
  <c r="M11" i="19" s="1"/>
  <c r="K10" i="19"/>
  <c r="K9" i="19"/>
  <c r="K8" i="19"/>
  <c r="K7" i="19"/>
  <c r="K5" i="19"/>
  <c r="K3" i="19"/>
  <c r="M3" i="19" s="1"/>
  <c r="K2" i="19"/>
  <c r="M2" i="19" s="1"/>
  <c r="K22" i="18"/>
  <c r="O22" i="18" s="1"/>
  <c r="K18" i="18"/>
  <c r="M18" i="18" s="1"/>
  <c r="K17" i="18"/>
  <c r="O17" i="18" s="1"/>
  <c r="K15" i="18"/>
  <c r="M15" i="18" s="1"/>
  <c r="K13" i="18"/>
  <c r="K12" i="18"/>
  <c r="M12" i="18" s="1"/>
  <c r="K11" i="18"/>
  <c r="M11" i="18" s="1"/>
  <c r="K10" i="18"/>
  <c r="K9" i="18"/>
  <c r="K8" i="18"/>
  <c r="K7" i="18"/>
  <c r="K5" i="18"/>
  <c r="K3" i="18"/>
  <c r="M3" i="18" s="1"/>
  <c r="K2" i="18"/>
  <c r="M2" i="18" s="1"/>
  <c r="N22" i="18" l="1"/>
  <c r="L15" i="18"/>
  <c r="L15" i="19"/>
  <c r="L15" i="20"/>
  <c r="L18" i="20"/>
  <c r="O22" i="20"/>
  <c r="L11" i="20"/>
  <c r="L12" i="20"/>
  <c r="L2" i="20"/>
  <c r="N17" i="20"/>
  <c r="L3" i="20"/>
  <c r="L11" i="19"/>
  <c r="L12" i="19"/>
  <c r="L2" i="19"/>
  <c r="N17" i="19"/>
  <c r="L18" i="19"/>
  <c r="L3" i="19"/>
  <c r="N22" i="19"/>
  <c r="L11" i="18"/>
  <c r="L12" i="18"/>
  <c r="L2" i="18"/>
  <c r="N17" i="18"/>
  <c r="L18" i="18"/>
  <c r="L3" i="18"/>
  <c r="K22" i="15"/>
  <c r="O22" i="15" s="1"/>
  <c r="K21" i="15"/>
  <c r="O21" i="15" s="1"/>
  <c r="K20" i="15"/>
  <c r="N20" i="15" s="1"/>
  <c r="K19" i="15"/>
  <c r="O19" i="15" s="1"/>
  <c r="K18" i="15"/>
  <c r="L18" i="15" s="1"/>
  <c r="K17" i="15"/>
  <c r="O17" i="15" s="1"/>
  <c r="K16" i="15"/>
  <c r="K15" i="15"/>
  <c r="M15" i="15" s="1"/>
  <c r="K14" i="15"/>
  <c r="K13" i="15"/>
  <c r="K12" i="15"/>
  <c r="M12" i="15" s="1"/>
  <c r="K11" i="15"/>
  <c r="M11" i="15" s="1"/>
  <c r="K10" i="15"/>
  <c r="K9" i="15"/>
  <c r="K8" i="15"/>
  <c r="K7" i="15"/>
  <c r="K6" i="15"/>
  <c r="L6" i="15" s="1"/>
  <c r="K5" i="15"/>
  <c r="K4" i="15"/>
  <c r="M4" i="15" s="1"/>
  <c r="O3" i="15"/>
  <c r="N3" i="15"/>
  <c r="M3" i="15"/>
  <c r="K3" i="15"/>
  <c r="L3" i="15" s="1"/>
  <c r="K2" i="15"/>
  <c r="M2" i="15" s="1"/>
  <c r="K22" i="16"/>
  <c r="O22" i="16" s="1"/>
  <c r="K21" i="16"/>
  <c r="O21" i="16" s="1"/>
  <c r="K20" i="16"/>
  <c r="O20" i="16" s="1"/>
  <c r="K19" i="16"/>
  <c r="O19" i="16" s="1"/>
  <c r="K18" i="16"/>
  <c r="M18" i="16" s="1"/>
  <c r="K17" i="16"/>
  <c r="O17" i="16" s="1"/>
  <c r="K16" i="16"/>
  <c r="K15" i="16"/>
  <c r="M15" i="16" s="1"/>
  <c r="K14" i="16"/>
  <c r="K13" i="16"/>
  <c r="M12" i="16"/>
  <c r="K12" i="16"/>
  <c r="L12" i="16" s="1"/>
  <c r="K11" i="16"/>
  <c r="M11" i="16" s="1"/>
  <c r="K10" i="16"/>
  <c r="K9" i="16"/>
  <c r="K8" i="16"/>
  <c r="K7" i="16"/>
  <c r="K6" i="16"/>
  <c r="M6" i="16" s="1"/>
  <c r="K5" i="16"/>
  <c r="K4" i="16"/>
  <c r="M4" i="16" s="1"/>
  <c r="K3" i="16"/>
  <c r="L3" i="16" s="1"/>
  <c r="K2" i="16"/>
  <c r="N2" i="16" s="1"/>
  <c r="Q2" i="20" l="1"/>
  <c r="R2" i="20"/>
  <c r="R2" i="19"/>
  <c r="Q2" i="19"/>
  <c r="R2" i="18"/>
  <c r="Q2" i="18"/>
  <c r="O2" i="16"/>
  <c r="N21" i="16"/>
  <c r="L15" i="15"/>
  <c r="L4" i="15"/>
  <c r="N17" i="15"/>
  <c r="M6" i="15"/>
  <c r="N19" i="15"/>
  <c r="L11" i="15"/>
  <c r="N2" i="15"/>
  <c r="N21" i="15"/>
  <c r="L12" i="15"/>
  <c r="M18" i="15"/>
  <c r="L2" i="15"/>
  <c r="O20" i="15"/>
  <c r="O2" i="15"/>
  <c r="N22" i="15"/>
  <c r="N22" i="16"/>
  <c r="M3" i="16"/>
  <c r="N3" i="16"/>
  <c r="L15" i="16"/>
  <c r="O3" i="16"/>
  <c r="L4" i="16"/>
  <c r="N17" i="16"/>
  <c r="L6" i="16"/>
  <c r="L18" i="16"/>
  <c r="N19" i="16"/>
  <c r="L2" i="16"/>
  <c r="N20" i="16"/>
  <c r="M2" i="16"/>
  <c r="L11" i="16"/>
  <c r="R2" i="15" l="1"/>
  <c r="Q2" i="15"/>
  <c r="Q2" i="16"/>
  <c r="R2" i="16"/>
</calcChain>
</file>

<file path=xl/sharedStrings.xml><?xml version="1.0" encoding="utf-8"?>
<sst xmlns="http://schemas.openxmlformats.org/spreadsheetml/2006/main" count="94" uniqueCount="16">
  <si>
    <t>t</t>
  </si>
  <si>
    <t>prewash</t>
  </si>
  <si>
    <t>initial</t>
  </si>
  <si>
    <t>postwash</t>
  </si>
  <si>
    <t>volume (ml)</t>
  </si>
  <si>
    <t>mean</t>
  </si>
  <si>
    <t>residuals 1</t>
  </si>
  <si>
    <t>residuals 2</t>
  </si>
  <si>
    <t>residuals 3</t>
  </si>
  <si>
    <t>residuals 4</t>
  </si>
  <si>
    <t>sigma_C</t>
  </si>
  <si>
    <t>sigma_R</t>
  </si>
  <si>
    <t>R1</t>
  </si>
  <si>
    <t>R2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</si>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</sst>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sz val="10"/>
      <color rgb="FF000000"/>
      <name val="Aptos"/>
      <family val="2"/>
    </font>
    <font>
      <i/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0" fontId="0" fillId="0" borderId="0" xfId="0" applyAlignment="1">
      <alignment horizontal="right" vertical="center"/>
    </xf>
    <xf numFmtId="1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/>
    <xf numFmtId="0" fontId="2" fillId="0" borderId="1" xfId="0" applyFont="1" applyBorder="1"/>
    <xf numFmtId="11" fontId="3" fillId="0" borderId="0" xfId="0" applyNumberFormat="1" applyFont="1"/>
    <xf numFmtId="0" fontId="0" fillId="0" borderId="0" xfId="0" applyFill="1"/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11" fontId="0" fillId="0" borderId="0" xfId="0" applyNumberFormat="1" applyFill="1"/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K1" sqref="K1:K13"/>
    </sheetView>
  </sheetViews>
  <sheetFormatPr defaultRowHeight="12.5" x14ac:dyDescent="0.25"/>
  <cols>
    <col min="2" max="2" width="20.26953125" customWidth="1"/>
    <col min="3" max="3" width="11.81640625" customWidth="1"/>
    <col min="4" max="4" width="15.81640625" customWidth="1"/>
    <col min="5" max="5" width="13.81640625" customWidth="1"/>
  </cols>
  <sheetData>
    <row r="1" spans="1:11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1" x14ac:dyDescent="0.25">
      <c r="A2" t="s">
        <v>2</v>
      </c>
      <c r="B2">
        <v>6</v>
      </c>
      <c r="C2">
        <v>6</v>
      </c>
      <c r="D2">
        <v>4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1" x14ac:dyDescent="0.25">
      <c r="A3" t="s">
        <v>1</v>
      </c>
      <c r="B3">
        <v>6</v>
      </c>
      <c r="C3">
        <v>6</v>
      </c>
      <c r="D3">
        <v>6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5">
      <c r="A4" t="s">
        <v>3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1" x14ac:dyDescent="0.25">
      <c r="A5" s="2">
        <v>2.5</v>
      </c>
      <c r="B5">
        <v>3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1" x14ac:dyDescent="0.25">
      <c r="A6">
        <v>6.5</v>
      </c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1" x14ac:dyDescent="0.25">
      <c r="A7">
        <v>9.5</v>
      </c>
      <c r="B7">
        <v>5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1" x14ac:dyDescent="0.25">
      <c r="A8">
        <v>12</v>
      </c>
      <c r="B8">
        <v>6</v>
      </c>
      <c r="C8">
        <v>6</v>
      </c>
      <c r="D8">
        <v>6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</row>
    <row r="9" spans="1:11" x14ac:dyDescent="0.25">
      <c r="A9">
        <v>14</v>
      </c>
      <c r="B9">
        <v>6</v>
      </c>
      <c r="C9">
        <v>6</v>
      </c>
      <c r="D9">
        <v>6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</row>
    <row r="10" spans="1:11" x14ac:dyDescent="0.25">
      <c r="A10">
        <v>26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1</v>
      </c>
      <c r="I10">
        <v>0</v>
      </c>
      <c r="J10">
        <v>1</v>
      </c>
    </row>
    <row r="11" spans="1:11" x14ac:dyDescent="0.25">
      <c r="A11">
        <v>32</v>
      </c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4</v>
      </c>
      <c r="I11">
        <v>0</v>
      </c>
      <c r="J11">
        <v>0</v>
      </c>
    </row>
    <row r="12" spans="1:11" x14ac:dyDescent="0.25">
      <c r="A12">
        <v>55.5</v>
      </c>
      <c r="B12">
        <v>6</v>
      </c>
      <c r="C12">
        <v>6</v>
      </c>
      <c r="D12">
        <v>6</v>
      </c>
      <c r="E12">
        <v>6</v>
      </c>
      <c r="F12">
        <v>6</v>
      </c>
      <c r="G12">
        <v>6</v>
      </c>
      <c r="H12">
        <v>2</v>
      </c>
      <c r="I12">
        <v>0</v>
      </c>
      <c r="J12">
        <v>0</v>
      </c>
    </row>
    <row r="13" spans="1:11" x14ac:dyDescent="0.25">
      <c r="A13">
        <v>74</v>
      </c>
      <c r="B13">
        <v>6</v>
      </c>
      <c r="C13">
        <v>6</v>
      </c>
      <c r="D13">
        <v>6</v>
      </c>
      <c r="E13">
        <v>6</v>
      </c>
      <c r="F13">
        <v>6</v>
      </c>
      <c r="G13">
        <v>6</v>
      </c>
      <c r="H13">
        <v>2</v>
      </c>
      <c r="I13">
        <v>1</v>
      </c>
      <c r="J13">
        <v>0</v>
      </c>
    </row>
    <row r="15" spans="1:11" x14ac:dyDescent="0.25">
      <c r="B15" s="1"/>
      <c r="C15" s="1"/>
      <c r="D15" s="1"/>
    </row>
    <row r="16" spans="1:11" x14ac:dyDescent="0.25">
      <c r="B16" s="1"/>
      <c r="C16" s="1"/>
      <c r="D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selection activeCell="K1" sqref="K1:K15"/>
    </sheetView>
  </sheetViews>
  <sheetFormatPr defaultRowHeight="12.5" x14ac:dyDescent="0.25"/>
  <cols>
    <col min="2" max="2" width="10.26953125" customWidth="1"/>
  </cols>
  <sheetData>
    <row r="1" spans="1:11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1" x14ac:dyDescent="0.25">
      <c r="A2" t="s">
        <v>2</v>
      </c>
      <c r="B2">
        <v>6</v>
      </c>
      <c r="C2">
        <v>6</v>
      </c>
      <c r="D2">
        <v>6</v>
      </c>
      <c r="E2">
        <v>5</v>
      </c>
      <c r="F2">
        <v>2</v>
      </c>
      <c r="G2">
        <v>0</v>
      </c>
      <c r="H2">
        <v>0</v>
      </c>
      <c r="I2">
        <v>0</v>
      </c>
      <c r="J2">
        <v>0</v>
      </c>
    </row>
    <row r="3" spans="1:11" x14ac:dyDescent="0.25">
      <c r="A3" t="s">
        <v>1</v>
      </c>
      <c r="B3">
        <v>6</v>
      </c>
      <c r="C3">
        <v>6</v>
      </c>
      <c r="D3">
        <v>6</v>
      </c>
      <c r="E3">
        <v>4</v>
      </c>
      <c r="F3">
        <v>1</v>
      </c>
      <c r="G3">
        <v>0</v>
      </c>
      <c r="H3">
        <v>0</v>
      </c>
      <c r="I3">
        <v>0</v>
      </c>
      <c r="J3">
        <v>0</v>
      </c>
    </row>
    <row r="4" spans="1:11" x14ac:dyDescent="0.25">
      <c r="A4" t="s">
        <v>3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1" x14ac:dyDescent="0.25">
      <c r="A5" s="4">
        <v>2.5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1" x14ac:dyDescent="0.25">
      <c r="A6" s="4">
        <v>5</v>
      </c>
      <c r="B6">
        <v>2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1" x14ac:dyDescent="0.25">
      <c r="A7" s="4">
        <v>6.5</v>
      </c>
      <c r="B7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1" x14ac:dyDescent="0.25">
      <c r="A8" s="4">
        <v>22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0</v>
      </c>
      <c r="I8">
        <v>0</v>
      </c>
      <c r="J8">
        <v>0</v>
      </c>
    </row>
    <row r="9" spans="1:11" x14ac:dyDescent="0.25">
      <c r="A9" s="4">
        <v>26</v>
      </c>
      <c r="B9">
        <v>6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2</v>
      </c>
      <c r="J9">
        <v>2</v>
      </c>
    </row>
    <row r="10" spans="1:11" x14ac:dyDescent="0.25">
      <c r="A10" s="4">
        <v>32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4</v>
      </c>
      <c r="I10">
        <v>1</v>
      </c>
      <c r="J10">
        <v>0</v>
      </c>
    </row>
    <row r="11" spans="1:11" x14ac:dyDescent="0.25">
      <c r="A11" s="4">
        <v>45.5</v>
      </c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5</v>
      </c>
      <c r="I11">
        <v>1</v>
      </c>
      <c r="J11">
        <v>0</v>
      </c>
    </row>
    <row r="12" spans="1:11" x14ac:dyDescent="0.25">
      <c r="A12" s="4">
        <v>51</v>
      </c>
      <c r="B12">
        <v>6</v>
      </c>
      <c r="C12">
        <v>6</v>
      </c>
      <c r="D12">
        <v>6</v>
      </c>
      <c r="E12">
        <v>6</v>
      </c>
      <c r="F12">
        <v>6</v>
      </c>
      <c r="G12">
        <v>6</v>
      </c>
      <c r="H12">
        <v>5</v>
      </c>
      <c r="I12">
        <v>1</v>
      </c>
      <c r="J12">
        <v>0</v>
      </c>
    </row>
    <row r="13" spans="1:11" x14ac:dyDescent="0.25">
      <c r="A13">
        <v>55.5</v>
      </c>
      <c r="B13">
        <v>6</v>
      </c>
      <c r="C13">
        <v>6</v>
      </c>
      <c r="D13">
        <v>6</v>
      </c>
      <c r="E13">
        <v>6</v>
      </c>
      <c r="F13">
        <v>6</v>
      </c>
      <c r="G13">
        <v>6</v>
      </c>
      <c r="H13">
        <v>6</v>
      </c>
      <c r="I13">
        <v>2</v>
      </c>
      <c r="J13">
        <v>0</v>
      </c>
    </row>
    <row r="14" spans="1:11" x14ac:dyDescent="0.25">
      <c r="A14" s="4">
        <v>69</v>
      </c>
      <c r="B14">
        <v>6</v>
      </c>
      <c r="C14">
        <v>6</v>
      </c>
      <c r="D14">
        <v>6</v>
      </c>
      <c r="E14">
        <v>6</v>
      </c>
      <c r="F14">
        <v>6</v>
      </c>
      <c r="G14">
        <v>6</v>
      </c>
      <c r="H14">
        <v>4</v>
      </c>
      <c r="I14">
        <v>2</v>
      </c>
      <c r="J14">
        <v>0</v>
      </c>
    </row>
    <row r="15" spans="1:11" x14ac:dyDescent="0.25">
      <c r="A15" s="4">
        <v>74</v>
      </c>
      <c r="B15">
        <v>6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1</v>
      </c>
      <c r="J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8867-7FF1-4B80-9AC8-28D7288F4BE2}">
  <dimension ref="A1:K15"/>
  <sheetViews>
    <sheetView workbookViewId="0">
      <selection activeCell="K1" sqref="K1:K8"/>
    </sheetView>
  </sheetViews>
  <sheetFormatPr defaultRowHeight="12.5" x14ac:dyDescent="0.25"/>
  <cols>
    <col min="1" max="1" width="15.453125" customWidth="1"/>
    <col min="2" max="2" width="12.54296875" customWidth="1"/>
  </cols>
  <sheetData>
    <row r="1" spans="1:11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1" x14ac:dyDescent="0.25">
      <c r="A2" s="2" t="s">
        <v>2</v>
      </c>
      <c r="B2">
        <v>6</v>
      </c>
      <c r="C2">
        <v>6</v>
      </c>
      <c r="D2">
        <v>6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</row>
    <row r="3" spans="1:11" x14ac:dyDescent="0.25">
      <c r="A3" s="4" t="s">
        <v>1</v>
      </c>
      <c r="B3">
        <v>6</v>
      </c>
      <c r="C3">
        <v>6</v>
      </c>
      <c r="D3">
        <v>6</v>
      </c>
      <c r="E3">
        <v>4</v>
      </c>
      <c r="F3">
        <v>1</v>
      </c>
      <c r="G3">
        <v>0</v>
      </c>
      <c r="H3">
        <v>0</v>
      </c>
      <c r="I3">
        <v>0</v>
      </c>
      <c r="J3">
        <v>0</v>
      </c>
    </row>
    <row r="4" spans="1:11" x14ac:dyDescent="0.25">
      <c r="A4" s="4">
        <v>72</v>
      </c>
      <c r="B4">
        <v>6</v>
      </c>
      <c r="C4">
        <v>6</v>
      </c>
      <c r="D4">
        <v>6</v>
      </c>
      <c r="E4">
        <v>6</v>
      </c>
      <c r="F4">
        <v>6</v>
      </c>
      <c r="G4">
        <v>6</v>
      </c>
      <c r="H4">
        <v>0</v>
      </c>
      <c r="I4">
        <v>0</v>
      </c>
      <c r="J4">
        <v>0</v>
      </c>
    </row>
    <row r="5" spans="1:11" x14ac:dyDescent="0.25">
      <c r="A5" s="4">
        <v>96</v>
      </c>
      <c r="B5">
        <v>6</v>
      </c>
      <c r="C5">
        <v>6</v>
      </c>
      <c r="D5">
        <v>6</v>
      </c>
      <c r="E5">
        <v>6</v>
      </c>
      <c r="F5">
        <v>6</v>
      </c>
      <c r="G5">
        <v>4</v>
      </c>
      <c r="H5">
        <v>1</v>
      </c>
      <c r="I5">
        <v>0</v>
      </c>
      <c r="J5">
        <v>0</v>
      </c>
    </row>
    <row r="6" spans="1:11" x14ac:dyDescent="0.25">
      <c r="A6" s="4">
        <v>120</v>
      </c>
      <c r="B6">
        <v>6</v>
      </c>
      <c r="C6">
        <v>6</v>
      </c>
      <c r="D6">
        <v>6</v>
      </c>
      <c r="E6">
        <v>6</v>
      </c>
      <c r="F6">
        <v>6</v>
      </c>
      <c r="G6">
        <v>3</v>
      </c>
      <c r="H6">
        <v>1</v>
      </c>
      <c r="I6">
        <v>0</v>
      </c>
      <c r="J6">
        <v>0</v>
      </c>
    </row>
    <row r="7" spans="1:11" x14ac:dyDescent="0.25">
      <c r="A7" s="4">
        <v>144</v>
      </c>
      <c r="B7">
        <v>6</v>
      </c>
      <c r="C7">
        <v>6</v>
      </c>
      <c r="D7">
        <v>6</v>
      </c>
      <c r="E7">
        <v>6</v>
      </c>
      <c r="F7">
        <v>6</v>
      </c>
      <c r="G7">
        <v>4</v>
      </c>
      <c r="H7">
        <v>0</v>
      </c>
      <c r="I7">
        <v>0</v>
      </c>
      <c r="J7">
        <v>0</v>
      </c>
    </row>
    <row r="8" spans="1:11" x14ac:dyDescent="0.25">
      <c r="A8" s="4">
        <v>168</v>
      </c>
      <c r="B8">
        <v>6</v>
      </c>
      <c r="C8">
        <v>6</v>
      </c>
      <c r="D8">
        <v>6</v>
      </c>
      <c r="E8">
        <v>6</v>
      </c>
      <c r="F8">
        <v>6</v>
      </c>
      <c r="G8">
        <v>3</v>
      </c>
      <c r="H8">
        <v>1</v>
      </c>
      <c r="I8">
        <v>0</v>
      </c>
      <c r="J8">
        <v>0</v>
      </c>
    </row>
    <row r="9" spans="1:11" x14ac:dyDescent="0.25">
      <c r="A9" s="4"/>
    </row>
    <row r="10" spans="1:11" x14ac:dyDescent="0.25">
      <c r="A10" s="4"/>
    </row>
    <row r="11" spans="1:11" x14ac:dyDescent="0.25">
      <c r="A11" s="4"/>
    </row>
    <row r="12" spans="1:11" x14ac:dyDescent="0.25">
      <c r="A12" s="4"/>
    </row>
    <row r="14" spans="1:11" x14ac:dyDescent="0.25">
      <c r="A14" s="4"/>
    </row>
    <row r="15" spans="1:11" x14ac:dyDescent="0.25">
      <c r="A1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C955-1732-4854-B247-74544E07B380}">
  <dimension ref="A1:K8"/>
  <sheetViews>
    <sheetView workbookViewId="0">
      <selection activeCell="K1" sqref="K1:K8"/>
    </sheetView>
  </sheetViews>
  <sheetFormatPr defaultRowHeight="12.5" x14ac:dyDescent="0.25"/>
  <cols>
    <col min="2" max="2" width="11.1796875" customWidth="1"/>
  </cols>
  <sheetData>
    <row r="1" spans="1:11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1" x14ac:dyDescent="0.25">
      <c r="A2" s="2" t="s">
        <v>2</v>
      </c>
      <c r="B2">
        <v>6</v>
      </c>
      <c r="C2">
        <v>6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1" x14ac:dyDescent="0.25">
      <c r="A3" s="4" t="s">
        <v>1</v>
      </c>
      <c r="B3">
        <v>6</v>
      </c>
      <c r="C3">
        <v>6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25">
      <c r="A4" s="4">
        <v>72</v>
      </c>
      <c r="B4">
        <v>6</v>
      </c>
      <c r="C4">
        <v>6</v>
      </c>
      <c r="D4">
        <v>6</v>
      </c>
      <c r="E4">
        <v>6</v>
      </c>
      <c r="F4">
        <v>6</v>
      </c>
      <c r="G4">
        <v>3</v>
      </c>
      <c r="H4">
        <v>1</v>
      </c>
      <c r="I4">
        <v>0</v>
      </c>
      <c r="J4">
        <v>0</v>
      </c>
    </row>
    <row r="5" spans="1:11" x14ac:dyDescent="0.25">
      <c r="A5" s="4">
        <v>96</v>
      </c>
      <c r="B5">
        <v>6</v>
      </c>
      <c r="C5">
        <v>6</v>
      </c>
      <c r="D5">
        <v>6</v>
      </c>
      <c r="E5">
        <v>6</v>
      </c>
      <c r="F5">
        <v>6</v>
      </c>
      <c r="G5">
        <v>5</v>
      </c>
      <c r="H5">
        <v>1</v>
      </c>
      <c r="I5">
        <v>0</v>
      </c>
      <c r="J5">
        <v>0</v>
      </c>
    </row>
    <row r="6" spans="1:11" x14ac:dyDescent="0.25">
      <c r="A6" s="4">
        <v>120</v>
      </c>
      <c r="B6">
        <v>6</v>
      </c>
      <c r="C6">
        <v>6</v>
      </c>
      <c r="D6">
        <v>6</v>
      </c>
      <c r="E6">
        <v>6</v>
      </c>
      <c r="F6">
        <v>6</v>
      </c>
      <c r="G6">
        <v>2</v>
      </c>
      <c r="H6">
        <v>0</v>
      </c>
      <c r="I6">
        <v>0</v>
      </c>
      <c r="J6">
        <v>0</v>
      </c>
    </row>
    <row r="7" spans="1:11" x14ac:dyDescent="0.25">
      <c r="A7" s="4">
        <v>144</v>
      </c>
      <c r="B7">
        <v>6</v>
      </c>
      <c r="C7">
        <v>6</v>
      </c>
      <c r="D7">
        <v>6</v>
      </c>
      <c r="E7">
        <v>6</v>
      </c>
      <c r="F7">
        <v>6</v>
      </c>
      <c r="G7">
        <v>2</v>
      </c>
      <c r="H7">
        <v>0</v>
      </c>
      <c r="I7">
        <v>0</v>
      </c>
      <c r="J7">
        <v>0</v>
      </c>
    </row>
    <row r="8" spans="1:11" x14ac:dyDescent="0.25">
      <c r="A8" s="4">
        <v>168</v>
      </c>
      <c r="B8">
        <v>6</v>
      </c>
      <c r="C8">
        <v>6</v>
      </c>
      <c r="D8">
        <v>6</v>
      </c>
      <c r="E8">
        <v>6</v>
      </c>
      <c r="F8">
        <v>6</v>
      </c>
      <c r="G8">
        <v>4</v>
      </c>
      <c r="H8">
        <v>1</v>
      </c>
      <c r="I8">
        <v>0</v>
      </c>
      <c r="J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6"/>
  <sheetViews>
    <sheetView workbookViewId="0">
      <selection activeCell="K1" sqref="K1:K13"/>
    </sheetView>
  </sheetViews>
  <sheetFormatPr defaultRowHeight="12.5" x14ac:dyDescent="0.25"/>
  <cols>
    <col min="2" max="2" width="20.26953125" customWidth="1"/>
    <col min="3" max="3" width="11.81640625" customWidth="1"/>
    <col min="4" max="4" width="15.81640625" customWidth="1"/>
    <col min="5" max="5" width="13.81640625" customWidth="1"/>
  </cols>
  <sheetData>
    <row r="1" spans="1:30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15.5" x14ac:dyDescent="0.25">
      <c r="A2" t="s">
        <v>2</v>
      </c>
      <c r="B2">
        <v>6</v>
      </c>
      <c r="C2">
        <v>6</v>
      </c>
      <c r="D2">
        <v>6</v>
      </c>
      <c r="E2">
        <v>6</v>
      </c>
      <c r="F2">
        <v>6</v>
      </c>
      <c r="G2">
        <v>2</v>
      </c>
      <c r="H2">
        <v>2</v>
      </c>
      <c r="I2">
        <v>0</v>
      </c>
      <c r="J2">
        <v>0</v>
      </c>
      <c r="M2" s="9"/>
      <c r="N2" s="9"/>
      <c r="O2" s="9"/>
      <c r="P2" s="8"/>
      <c r="Q2" s="9"/>
      <c r="R2" s="9"/>
      <c r="S2" s="9"/>
      <c r="T2" s="8"/>
      <c r="U2" s="10"/>
      <c r="V2" s="11"/>
      <c r="W2" s="10"/>
      <c r="X2" s="8"/>
      <c r="Y2" s="12"/>
      <c r="Z2" s="12"/>
      <c r="AA2" s="12"/>
      <c r="AB2" s="8"/>
      <c r="AC2" s="12"/>
      <c r="AD2" s="8"/>
    </row>
    <row r="3" spans="1:30" ht="15.5" x14ac:dyDescent="0.25">
      <c r="A3" t="s">
        <v>1</v>
      </c>
      <c r="B3">
        <v>6</v>
      </c>
      <c r="C3">
        <v>6</v>
      </c>
      <c r="D3">
        <v>6</v>
      </c>
      <c r="E3">
        <v>6</v>
      </c>
      <c r="F3">
        <v>6</v>
      </c>
      <c r="G3">
        <v>1</v>
      </c>
      <c r="H3">
        <v>1</v>
      </c>
      <c r="I3">
        <v>0</v>
      </c>
      <c r="J3">
        <v>0</v>
      </c>
      <c r="M3" s="9"/>
      <c r="N3" s="9"/>
      <c r="O3" s="9"/>
      <c r="P3" s="8"/>
      <c r="Q3" s="9"/>
      <c r="R3" s="9"/>
      <c r="S3" s="9"/>
      <c r="T3" s="8"/>
      <c r="U3" s="10"/>
      <c r="V3" s="11"/>
      <c r="W3" s="10"/>
      <c r="X3" s="8"/>
      <c r="Y3" s="12"/>
      <c r="Z3" s="12"/>
      <c r="AA3" s="12"/>
      <c r="AB3" s="8"/>
      <c r="AC3" s="12"/>
      <c r="AD3" s="8"/>
    </row>
    <row r="4" spans="1:30" x14ac:dyDescent="0.25">
      <c r="A4" t="s">
        <v>3</v>
      </c>
      <c r="B4">
        <v>6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12"/>
      <c r="Z4" s="12"/>
      <c r="AA4" s="12"/>
      <c r="AB4" s="8"/>
      <c r="AC4" s="12"/>
      <c r="AD4" s="8"/>
    </row>
    <row r="5" spans="1:30" ht="15.5" x14ac:dyDescent="0.25">
      <c r="A5" s="2">
        <v>2.5</v>
      </c>
      <c r="B5">
        <v>6</v>
      </c>
      <c r="C5">
        <v>5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M5" s="9"/>
      <c r="N5" s="9"/>
      <c r="O5" s="9"/>
      <c r="P5" s="8"/>
      <c r="Q5" s="9"/>
      <c r="R5" s="9"/>
      <c r="S5" s="9"/>
      <c r="T5" s="8"/>
      <c r="U5" s="10"/>
      <c r="V5" s="11"/>
      <c r="W5" s="10"/>
      <c r="X5" s="8"/>
      <c r="Y5" s="12"/>
      <c r="Z5" s="12"/>
      <c r="AA5" s="12"/>
      <c r="AB5" s="8"/>
      <c r="AC5" s="12"/>
      <c r="AD5" s="8"/>
    </row>
    <row r="6" spans="1:30" ht="15.5" x14ac:dyDescent="0.25">
      <c r="A6">
        <v>6.5</v>
      </c>
      <c r="B6">
        <v>6</v>
      </c>
      <c r="C6">
        <v>5</v>
      </c>
      <c r="D6">
        <v>4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M6" s="9"/>
      <c r="N6" s="9"/>
      <c r="O6" s="9"/>
      <c r="P6" s="8"/>
      <c r="Q6" s="9"/>
      <c r="R6" s="9"/>
      <c r="S6" s="9"/>
      <c r="T6" s="8"/>
      <c r="U6" s="10"/>
      <c r="V6" s="11"/>
      <c r="W6" s="10"/>
      <c r="X6" s="8"/>
      <c r="Y6" s="12"/>
      <c r="Z6" s="12"/>
      <c r="AA6" s="12"/>
      <c r="AB6" s="8"/>
      <c r="AC6" s="12"/>
      <c r="AD6" s="8"/>
    </row>
    <row r="7" spans="1:30" ht="15.5" x14ac:dyDescent="0.25">
      <c r="A7">
        <v>9.5</v>
      </c>
      <c r="B7">
        <v>6</v>
      </c>
      <c r="C7">
        <v>6</v>
      </c>
      <c r="D7">
        <v>6</v>
      </c>
      <c r="E7">
        <v>6</v>
      </c>
      <c r="F7">
        <v>4</v>
      </c>
      <c r="G7">
        <v>0</v>
      </c>
      <c r="H7">
        <v>0</v>
      </c>
      <c r="I7">
        <v>0</v>
      </c>
      <c r="J7">
        <v>0</v>
      </c>
      <c r="M7" s="9"/>
      <c r="N7" s="9"/>
      <c r="O7" s="9"/>
      <c r="P7" s="8"/>
      <c r="Q7" s="9"/>
      <c r="R7" s="9"/>
      <c r="S7" s="9"/>
      <c r="T7" s="8"/>
      <c r="U7" s="10"/>
      <c r="V7" s="11"/>
      <c r="W7" s="10"/>
      <c r="X7" s="8"/>
      <c r="Y7" s="12"/>
      <c r="Z7" s="12"/>
      <c r="AA7" s="12"/>
      <c r="AB7" s="8"/>
      <c r="AC7" s="12"/>
      <c r="AD7" s="8"/>
    </row>
    <row r="8" spans="1:30" ht="15.5" x14ac:dyDescent="0.25">
      <c r="A8">
        <v>12</v>
      </c>
      <c r="B8">
        <v>6</v>
      </c>
      <c r="C8">
        <v>6</v>
      </c>
      <c r="D8">
        <v>6</v>
      </c>
      <c r="E8">
        <v>6</v>
      </c>
      <c r="F8">
        <v>6</v>
      </c>
      <c r="G8">
        <v>3</v>
      </c>
      <c r="H8">
        <v>0</v>
      </c>
      <c r="I8">
        <v>0</v>
      </c>
      <c r="J8">
        <v>0</v>
      </c>
      <c r="M8" s="9"/>
      <c r="N8" s="9"/>
      <c r="O8" s="9"/>
      <c r="P8" s="8"/>
      <c r="Q8" s="9"/>
      <c r="R8" s="9"/>
      <c r="S8" s="9"/>
      <c r="T8" s="8"/>
      <c r="U8" s="10"/>
      <c r="V8" s="11"/>
      <c r="W8" s="10"/>
      <c r="X8" s="8"/>
      <c r="Y8" s="12"/>
      <c r="Z8" s="12"/>
      <c r="AA8" s="12"/>
      <c r="AB8" s="8"/>
      <c r="AC8" s="12"/>
      <c r="AD8" s="8"/>
    </row>
    <row r="9" spans="1:30" ht="15.5" x14ac:dyDescent="0.25">
      <c r="A9">
        <v>14</v>
      </c>
      <c r="B9">
        <v>6</v>
      </c>
      <c r="C9">
        <v>6</v>
      </c>
      <c r="D9">
        <v>6</v>
      </c>
      <c r="E9">
        <v>6</v>
      </c>
      <c r="F9">
        <v>6</v>
      </c>
      <c r="G9">
        <v>5</v>
      </c>
      <c r="H9">
        <v>1</v>
      </c>
      <c r="I9">
        <v>1</v>
      </c>
      <c r="J9">
        <v>0</v>
      </c>
      <c r="M9" s="9"/>
      <c r="N9" s="9"/>
      <c r="O9" s="9"/>
      <c r="P9" s="8"/>
      <c r="Q9" s="9"/>
      <c r="R9" s="9"/>
      <c r="S9" s="9"/>
      <c r="T9" s="8"/>
      <c r="U9" s="10"/>
      <c r="V9" s="11"/>
      <c r="W9" s="10"/>
      <c r="X9" s="8"/>
      <c r="Y9" s="12"/>
      <c r="Z9" s="12"/>
      <c r="AA9" s="12"/>
      <c r="AB9" s="8"/>
      <c r="AC9" s="12"/>
      <c r="AD9" s="8"/>
    </row>
    <row r="10" spans="1:30" ht="15.5" x14ac:dyDescent="0.25">
      <c r="A10">
        <v>26</v>
      </c>
      <c r="B10">
        <v>6</v>
      </c>
      <c r="C10">
        <v>6</v>
      </c>
      <c r="D10">
        <v>6</v>
      </c>
      <c r="E10">
        <v>6</v>
      </c>
      <c r="F10">
        <v>6</v>
      </c>
      <c r="G10">
        <v>5</v>
      </c>
      <c r="H10">
        <v>1</v>
      </c>
      <c r="I10">
        <v>0</v>
      </c>
      <c r="J10">
        <v>0</v>
      </c>
      <c r="M10" s="9"/>
      <c r="N10" s="9"/>
      <c r="O10" s="9"/>
      <c r="P10" s="8"/>
      <c r="Q10" s="9"/>
      <c r="R10" s="9"/>
      <c r="S10" s="9"/>
      <c r="T10" s="8"/>
      <c r="U10" s="10"/>
      <c r="V10" s="10"/>
      <c r="W10" s="10"/>
      <c r="X10" s="8"/>
      <c r="Y10" s="12"/>
      <c r="Z10" s="12"/>
      <c r="AA10" s="12"/>
      <c r="AB10" s="8"/>
      <c r="AC10" s="12"/>
      <c r="AD10" s="8"/>
    </row>
    <row r="11" spans="1:30" ht="15.5" x14ac:dyDescent="0.25">
      <c r="A11">
        <v>32</v>
      </c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2</v>
      </c>
      <c r="I11">
        <v>1</v>
      </c>
      <c r="J11">
        <v>0</v>
      </c>
      <c r="M11" s="9"/>
      <c r="N11" s="9"/>
      <c r="O11" s="9"/>
      <c r="P11" s="8"/>
      <c r="Q11" s="9"/>
      <c r="R11" s="9"/>
      <c r="S11" s="9"/>
      <c r="T11" s="8"/>
      <c r="U11" s="10"/>
      <c r="V11" s="11"/>
      <c r="W11" s="10"/>
      <c r="X11" s="8"/>
      <c r="Y11" s="12"/>
      <c r="Z11" s="12"/>
      <c r="AA11" s="12"/>
      <c r="AB11" s="8"/>
      <c r="AC11" s="12"/>
      <c r="AD11" s="8"/>
    </row>
    <row r="12" spans="1:30" ht="15.5" x14ac:dyDescent="0.25">
      <c r="A12">
        <v>55.5</v>
      </c>
      <c r="B12">
        <v>6</v>
      </c>
      <c r="C12">
        <v>6</v>
      </c>
      <c r="D12">
        <v>6</v>
      </c>
      <c r="E12">
        <v>6</v>
      </c>
      <c r="F12">
        <v>6</v>
      </c>
      <c r="G12">
        <v>6</v>
      </c>
      <c r="H12">
        <v>5</v>
      </c>
      <c r="I12">
        <v>1</v>
      </c>
      <c r="J12">
        <v>0</v>
      </c>
      <c r="M12" s="9"/>
      <c r="N12" s="9"/>
      <c r="O12" s="9"/>
      <c r="P12" s="8"/>
      <c r="Q12" s="9"/>
      <c r="R12" s="9"/>
      <c r="S12" s="9"/>
      <c r="T12" s="8"/>
      <c r="U12" s="10"/>
      <c r="V12" s="10"/>
      <c r="W12" s="10"/>
      <c r="X12" s="8"/>
      <c r="Y12" s="12"/>
      <c r="Z12" s="12"/>
      <c r="AA12" s="12"/>
      <c r="AB12" s="8"/>
      <c r="AC12" s="12"/>
      <c r="AD12" s="8"/>
    </row>
    <row r="13" spans="1:30" ht="15.5" x14ac:dyDescent="0.25">
      <c r="A13">
        <v>74</v>
      </c>
      <c r="B13">
        <v>6</v>
      </c>
      <c r="C13">
        <v>6</v>
      </c>
      <c r="D13">
        <v>6</v>
      </c>
      <c r="E13">
        <v>6</v>
      </c>
      <c r="F13">
        <v>6</v>
      </c>
      <c r="G13">
        <v>6</v>
      </c>
      <c r="H13">
        <v>6</v>
      </c>
      <c r="I13">
        <v>0</v>
      </c>
      <c r="J13">
        <v>0</v>
      </c>
      <c r="M13" s="9"/>
      <c r="N13" s="9"/>
      <c r="O13" s="9"/>
      <c r="P13" s="8"/>
      <c r="Q13" s="9"/>
      <c r="R13" s="9"/>
      <c r="S13" s="9"/>
      <c r="T13" s="8"/>
      <c r="U13" s="10"/>
      <c r="V13" s="11"/>
      <c r="W13" s="10"/>
      <c r="X13" s="8"/>
      <c r="Y13" s="12"/>
      <c r="Z13" s="12"/>
      <c r="AA13" s="12"/>
      <c r="AB13" s="8"/>
      <c r="AC13" s="12"/>
      <c r="AD13" s="8"/>
    </row>
    <row r="14" spans="1:30" x14ac:dyDescent="0.25">
      <c r="AC14" s="1"/>
    </row>
    <row r="15" spans="1:30" x14ac:dyDescent="0.25">
      <c r="B15" s="1"/>
      <c r="C15" s="1"/>
      <c r="D15" s="1"/>
      <c r="AC15" s="1"/>
    </row>
    <row r="16" spans="1:30" x14ac:dyDescent="0.25">
      <c r="B16" s="1"/>
      <c r="C16" s="1"/>
      <c r="D1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5"/>
  <sheetViews>
    <sheetView workbookViewId="0">
      <selection activeCell="K1" sqref="K1:K15"/>
    </sheetView>
  </sheetViews>
  <sheetFormatPr defaultRowHeight="12.5" x14ac:dyDescent="0.25"/>
  <cols>
    <col min="2" max="2" width="11.81640625" customWidth="1"/>
    <col min="26" max="26" width="8.7265625" customWidth="1"/>
  </cols>
  <sheetData>
    <row r="1" spans="1:30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ht="15.5" x14ac:dyDescent="0.25">
      <c r="A2" t="s">
        <v>2</v>
      </c>
      <c r="B2">
        <v>6</v>
      </c>
      <c r="C2">
        <v>6</v>
      </c>
      <c r="D2">
        <v>6</v>
      </c>
      <c r="E2">
        <v>6</v>
      </c>
      <c r="F2">
        <v>6</v>
      </c>
      <c r="G2">
        <v>5</v>
      </c>
      <c r="H2">
        <v>0</v>
      </c>
      <c r="I2">
        <v>0</v>
      </c>
      <c r="J2">
        <v>0</v>
      </c>
      <c r="M2" s="9"/>
      <c r="N2" s="9"/>
      <c r="O2" s="9"/>
      <c r="P2" s="8"/>
      <c r="Q2" s="9"/>
      <c r="R2" s="9"/>
      <c r="S2" s="9"/>
      <c r="T2" s="8"/>
      <c r="U2" s="10"/>
      <c r="V2" s="11"/>
      <c r="W2" s="10"/>
      <c r="X2" s="8"/>
      <c r="Y2" s="12"/>
      <c r="Z2" s="12"/>
      <c r="AA2" s="12"/>
      <c r="AB2" s="8"/>
      <c r="AC2" s="12"/>
      <c r="AD2" s="8"/>
    </row>
    <row r="3" spans="1:30" ht="15.5" x14ac:dyDescent="0.25">
      <c r="A3" t="s">
        <v>1</v>
      </c>
      <c r="B3">
        <v>6</v>
      </c>
      <c r="C3">
        <v>6</v>
      </c>
      <c r="D3">
        <v>6</v>
      </c>
      <c r="E3">
        <v>6</v>
      </c>
      <c r="F3">
        <v>5</v>
      </c>
      <c r="G3">
        <v>0</v>
      </c>
      <c r="H3">
        <v>0</v>
      </c>
      <c r="I3">
        <v>0</v>
      </c>
      <c r="J3">
        <v>0</v>
      </c>
      <c r="M3" s="9"/>
      <c r="N3" s="9"/>
      <c r="O3" s="9"/>
      <c r="P3" s="8"/>
      <c r="Q3" s="9"/>
      <c r="R3" s="9"/>
      <c r="S3" s="9"/>
      <c r="T3" s="8"/>
      <c r="U3" s="10"/>
      <c r="V3" s="11"/>
      <c r="W3" s="10"/>
      <c r="X3" s="8"/>
      <c r="Y3" s="12"/>
      <c r="Z3" s="12"/>
      <c r="AA3" s="12"/>
      <c r="AB3" s="8"/>
      <c r="AC3" s="12"/>
      <c r="AD3" s="8"/>
    </row>
    <row r="4" spans="1:30" ht="13" x14ac:dyDescent="0.25">
      <c r="A4" t="s">
        <v>3</v>
      </c>
      <c r="B4">
        <v>6</v>
      </c>
      <c r="C4">
        <v>6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M4" s="8"/>
      <c r="N4" s="8"/>
      <c r="O4" s="8"/>
      <c r="P4" s="8"/>
      <c r="Q4" s="8"/>
      <c r="R4" s="8"/>
      <c r="S4" s="8"/>
      <c r="T4" s="8"/>
      <c r="U4" s="10"/>
      <c r="V4" s="11"/>
      <c r="W4" s="10"/>
      <c r="X4" s="8"/>
      <c r="Y4" s="12"/>
      <c r="Z4" s="12"/>
      <c r="AA4" s="12"/>
      <c r="AB4" s="8"/>
      <c r="AC4" s="12"/>
      <c r="AD4" s="8"/>
    </row>
    <row r="5" spans="1:30" ht="15.5" x14ac:dyDescent="0.25">
      <c r="A5" s="4">
        <v>2.5</v>
      </c>
      <c r="B5">
        <v>6</v>
      </c>
      <c r="C5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M5" s="9"/>
      <c r="N5" s="9"/>
      <c r="O5" s="9"/>
      <c r="P5" s="8"/>
      <c r="Q5" s="9"/>
      <c r="R5" s="9"/>
      <c r="S5" s="9"/>
      <c r="T5" s="8"/>
      <c r="U5" s="10"/>
      <c r="V5" s="11"/>
      <c r="W5" s="10"/>
      <c r="X5" s="8"/>
      <c r="Y5" s="12"/>
      <c r="Z5" s="12"/>
      <c r="AA5" s="12"/>
      <c r="AB5" s="8"/>
      <c r="AC5" s="12"/>
      <c r="AD5" s="8"/>
    </row>
    <row r="6" spans="1:30" ht="15.5" x14ac:dyDescent="0.25">
      <c r="A6" s="4">
        <v>5</v>
      </c>
      <c r="B6">
        <v>6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M6" s="9"/>
      <c r="N6" s="9"/>
      <c r="O6" s="9"/>
      <c r="P6" s="8"/>
      <c r="Q6" s="9"/>
      <c r="R6" s="9"/>
      <c r="S6" s="9"/>
      <c r="T6" s="8"/>
      <c r="U6" s="10"/>
      <c r="V6" s="11"/>
      <c r="W6" s="10"/>
      <c r="X6" s="8"/>
      <c r="Y6" s="12"/>
      <c r="Z6" s="12"/>
      <c r="AA6" s="12"/>
      <c r="AB6" s="8"/>
      <c r="AC6" s="12"/>
      <c r="AD6" s="13"/>
    </row>
    <row r="7" spans="1:30" ht="15.5" x14ac:dyDescent="0.25">
      <c r="A7" s="4">
        <v>6.5</v>
      </c>
      <c r="B7">
        <v>6</v>
      </c>
      <c r="C7">
        <v>6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M7" s="9"/>
      <c r="N7" s="9"/>
      <c r="O7" s="9"/>
      <c r="P7" s="8"/>
      <c r="Q7" s="9"/>
      <c r="R7" s="9"/>
      <c r="S7" s="9"/>
      <c r="T7" s="8"/>
      <c r="U7" s="10"/>
      <c r="V7" s="11"/>
      <c r="W7" s="10"/>
      <c r="X7" s="8"/>
      <c r="Y7" s="12"/>
      <c r="Z7" s="12"/>
      <c r="AA7" s="12"/>
      <c r="AB7" s="8"/>
      <c r="AC7" s="12"/>
      <c r="AD7" s="13"/>
    </row>
    <row r="8" spans="1:30" ht="15.5" x14ac:dyDescent="0.25">
      <c r="A8" s="4">
        <v>22</v>
      </c>
      <c r="B8">
        <v>6</v>
      </c>
      <c r="C8">
        <v>6</v>
      </c>
      <c r="D8">
        <v>6</v>
      </c>
      <c r="E8">
        <v>6</v>
      </c>
      <c r="F8">
        <v>6</v>
      </c>
      <c r="G8">
        <v>3</v>
      </c>
      <c r="H8">
        <v>0</v>
      </c>
      <c r="I8">
        <v>0</v>
      </c>
      <c r="J8">
        <v>0</v>
      </c>
      <c r="M8" s="9"/>
      <c r="N8" s="9"/>
      <c r="O8" s="9"/>
      <c r="P8" s="8"/>
      <c r="Q8" s="9"/>
      <c r="R8" s="9"/>
      <c r="S8" s="9"/>
      <c r="T8" s="8"/>
      <c r="U8" s="10"/>
      <c r="V8" s="11"/>
      <c r="W8" s="10"/>
      <c r="X8" s="8"/>
      <c r="Y8" s="12"/>
      <c r="Z8" s="12"/>
      <c r="AA8" s="12"/>
      <c r="AB8" s="8"/>
      <c r="AC8" s="12"/>
      <c r="AD8" s="13"/>
    </row>
    <row r="9" spans="1:30" ht="15.5" x14ac:dyDescent="0.25">
      <c r="A9" s="4">
        <v>26</v>
      </c>
      <c r="B9">
        <v>6</v>
      </c>
      <c r="C9">
        <v>6</v>
      </c>
      <c r="D9">
        <v>6</v>
      </c>
      <c r="E9">
        <v>6</v>
      </c>
      <c r="F9">
        <v>5</v>
      </c>
      <c r="G9">
        <v>3</v>
      </c>
      <c r="H9">
        <v>1</v>
      </c>
      <c r="I9">
        <v>0</v>
      </c>
      <c r="J9">
        <v>0</v>
      </c>
      <c r="M9" s="9"/>
      <c r="N9" s="9"/>
      <c r="O9" s="9"/>
      <c r="P9" s="8"/>
      <c r="Q9" s="9"/>
      <c r="R9" s="9"/>
      <c r="S9" s="9"/>
      <c r="T9" s="8"/>
      <c r="U9" s="10"/>
      <c r="V9" s="11"/>
      <c r="W9" s="10"/>
      <c r="X9" s="8"/>
      <c r="Y9" s="12"/>
      <c r="Z9" s="12"/>
      <c r="AA9" s="12"/>
      <c r="AB9" s="8"/>
      <c r="AC9" s="12"/>
      <c r="AD9" s="13"/>
    </row>
    <row r="10" spans="1:30" ht="15.5" x14ac:dyDescent="0.25">
      <c r="A10" s="4">
        <v>32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1</v>
      </c>
      <c r="I10">
        <v>1</v>
      </c>
      <c r="J10">
        <v>0</v>
      </c>
      <c r="M10" s="9"/>
      <c r="N10" s="9"/>
      <c r="O10" s="9"/>
      <c r="P10" s="8"/>
      <c r="Q10" s="9"/>
      <c r="R10" s="9"/>
      <c r="S10" s="9"/>
      <c r="T10" s="8"/>
      <c r="U10" s="10"/>
      <c r="V10" s="11"/>
      <c r="W10" s="10"/>
      <c r="X10" s="8"/>
      <c r="Y10" s="12"/>
      <c r="Z10" s="12"/>
      <c r="AA10" s="12"/>
      <c r="AB10" s="8"/>
      <c r="AC10" s="12"/>
      <c r="AD10" s="13"/>
    </row>
    <row r="11" spans="1:30" ht="15.5" x14ac:dyDescent="0.25">
      <c r="A11" s="4">
        <v>45.5</v>
      </c>
      <c r="B11">
        <v>6</v>
      </c>
      <c r="C11">
        <v>6</v>
      </c>
      <c r="D11">
        <v>6</v>
      </c>
      <c r="E11">
        <v>6</v>
      </c>
      <c r="F11">
        <v>6</v>
      </c>
      <c r="G11">
        <v>4</v>
      </c>
      <c r="H11">
        <v>1</v>
      </c>
      <c r="I11">
        <v>0</v>
      </c>
      <c r="J11">
        <v>0</v>
      </c>
      <c r="M11" s="9"/>
      <c r="N11" s="9"/>
      <c r="O11" s="9"/>
      <c r="P11" s="8"/>
      <c r="Q11" s="9"/>
      <c r="R11" s="9"/>
      <c r="S11" s="9"/>
      <c r="T11" s="8"/>
      <c r="U11" s="10"/>
      <c r="V11" s="11"/>
      <c r="W11" s="10"/>
      <c r="X11" s="8"/>
      <c r="Y11" s="12"/>
      <c r="Z11" s="12"/>
      <c r="AA11" s="12"/>
      <c r="AB11" s="8"/>
      <c r="AC11" s="12"/>
      <c r="AD11" s="13"/>
    </row>
    <row r="12" spans="1:30" ht="15.5" x14ac:dyDescent="0.25">
      <c r="A12" s="4">
        <v>51</v>
      </c>
      <c r="B12">
        <v>6</v>
      </c>
      <c r="C12">
        <v>6</v>
      </c>
      <c r="D12">
        <v>6</v>
      </c>
      <c r="E12">
        <v>6</v>
      </c>
      <c r="F12">
        <v>6</v>
      </c>
      <c r="G12">
        <v>5</v>
      </c>
      <c r="H12">
        <v>1</v>
      </c>
      <c r="I12">
        <v>0</v>
      </c>
      <c r="J12">
        <v>0</v>
      </c>
      <c r="M12" s="9"/>
      <c r="N12" s="8"/>
      <c r="O12" s="8"/>
      <c r="P12" s="8"/>
      <c r="Q12" s="9"/>
      <c r="R12" s="9"/>
      <c r="S12" s="9"/>
      <c r="T12" s="8"/>
      <c r="U12" s="10"/>
      <c r="V12" s="11"/>
      <c r="W12" s="10"/>
      <c r="X12" s="8"/>
      <c r="Y12" s="12"/>
      <c r="Z12" s="12"/>
      <c r="AA12" s="12"/>
      <c r="AB12" s="8"/>
      <c r="AC12" s="12"/>
      <c r="AD12" s="13"/>
    </row>
    <row r="13" spans="1:30" ht="15.5" x14ac:dyDescent="0.25">
      <c r="A13">
        <v>55.5</v>
      </c>
      <c r="B13">
        <v>6</v>
      </c>
      <c r="C13">
        <v>6</v>
      </c>
      <c r="D13">
        <v>6</v>
      </c>
      <c r="E13">
        <v>6</v>
      </c>
      <c r="F13">
        <v>6</v>
      </c>
      <c r="G13">
        <v>5</v>
      </c>
      <c r="H13">
        <v>2</v>
      </c>
      <c r="I13">
        <v>1</v>
      </c>
      <c r="J13">
        <v>0</v>
      </c>
      <c r="M13" s="9"/>
      <c r="N13" s="9"/>
      <c r="O13" s="9"/>
      <c r="P13" s="8"/>
      <c r="Q13" s="9"/>
      <c r="R13" s="9"/>
      <c r="S13" s="9"/>
      <c r="T13" s="8"/>
      <c r="U13" s="10"/>
      <c r="V13" s="11"/>
      <c r="W13" s="10"/>
      <c r="X13" s="8"/>
      <c r="Y13" s="12"/>
      <c r="Z13" s="12"/>
      <c r="AA13" s="12"/>
      <c r="AB13" s="8"/>
      <c r="AC13" s="12"/>
      <c r="AD13" s="8"/>
    </row>
    <row r="14" spans="1:30" ht="15.5" x14ac:dyDescent="0.25">
      <c r="A14" s="4">
        <v>69</v>
      </c>
      <c r="B14">
        <v>6</v>
      </c>
      <c r="C14">
        <v>6</v>
      </c>
      <c r="D14">
        <v>6</v>
      </c>
      <c r="E14">
        <v>6</v>
      </c>
      <c r="F14">
        <v>6</v>
      </c>
      <c r="G14">
        <v>4</v>
      </c>
      <c r="H14">
        <v>1</v>
      </c>
      <c r="I14">
        <v>0</v>
      </c>
      <c r="J14">
        <v>0</v>
      </c>
      <c r="M14" s="8"/>
      <c r="N14" s="8"/>
      <c r="O14" s="8"/>
      <c r="P14" s="8"/>
      <c r="Q14" s="9"/>
      <c r="R14" s="9"/>
      <c r="S14" s="9"/>
      <c r="T14" s="8"/>
      <c r="U14" s="10"/>
      <c r="V14" s="11"/>
      <c r="W14" s="10"/>
      <c r="X14" s="8"/>
      <c r="Y14" s="12"/>
      <c r="Z14" s="12"/>
      <c r="AA14" s="12"/>
      <c r="AB14" s="8"/>
      <c r="AC14" s="12"/>
      <c r="AD14" s="13"/>
    </row>
    <row r="15" spans="1:30" ht="15.5" x14ac:dyDescent="0.25">
      <c r="A15" s="4">
        <v>74</v>
      </c>
      <c r="B15">
        <v>6</v>
      </c>
      <c r="C15">
        <v>6</v>
      </c>
      <c r="D15">
        <v>6</v>
      </c>
      <c r="E15">
        <v>6</v>
      </c>
      <c r="F15">
        <v>6</v>
      </c>
      <c r="G15">
        <v>5</v>
      </c>
      <c r="H15">
        <v>1</v>
      </c>
      <c r="I15">
        <v>0</v>
      </c>
      <c r="J15">
        <v>0</v>
      </c>
      <c r="M15" s="9"/>
      <c r="N15" s="9"/>
      <c r="O15" s="9"/>
      <c r="P15" s="8"/>
      <c r="Q15" s="9"/>
      <c r="R15" s="9"/>
      <c r="S15" s="9"/>
      <c r="T15" s="8"/>
      <c r="U15" s="10"/>
      <c r="V15" s="11"/>
      <c r="W15" s="10"/>
      <c r="X15" s="8"/>
      <c r="Y15" s="12"/>
      <c r="Z15" s="12"/>
      <c r="AA15" s="12"/>
      <c r="AB15" s="8"/>
      <c r="AC15" s="12"/>
      <c r="AD1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2296-CB79-4606-A324-E0C1698B4E91}">
  <dimension ref="A1:Z8"/>
  <sheetViews>
    <sheetView workbookViewId="0">
      <selection activeCell="K1" sqref="K1:K8"/>
    </sheetView>
  </sheetViews>
  <sheetFormatPr defaultRowHeight="12.5" x14ac:dyDescent="0.25"/>
  <cols>
    <col min="2" max="2" width="10.54296875" customWidth="1"/>
  </cols>
  <sheetData>
    <row r="1" spans="1:26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2" t="s">
        <v>2</v>
      </c>
      <c r="B2">
        <v>6</v>
      </c>
      <c r="C2">
        <v>6</v>
      </c>
      <c r="D2">
        <v>6</v>
      </c>
      <c r="E2">
        <v>6</v>
      </c>
      <c r="F2">
        <v>6</v>
      </c>
      <c r="G2">
        <v>3</v>
      </c>
      <c r="H2">
        <v>0</v>
      </c>
      <c r="I2">
        <v>0</v>
      </c>
      <c r="J2">
        <v>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4" t="s">
        <v>1</v>
      </c>
      <c r="B3">
        <v>6</v>
      </c>
      <c r="C3">
        <v>6</v>
      </c>
      <c r="D3">
        <v>6</v>
      </c>
      <c r="E3">
        <v>6</v>
      </c>
      <c r="F3">
        <v>6</v>
      </c>
      <c r="G3">
        <v>1</v>
      </c>
      <c r="H3">
        <v>0</v>
      </c>
      <c r="I3">
        <v>0</v>
      </c>
      <c r="J3">
        <v>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5" x14ac:dyDescent="0.25">
      <c r="A4" s="4">
        <v>72</v>
      </c>
      <c r="B4">
        <v>6</v>
      </c>
      <c r="C4">
        <v>6</v>
      </c>
      <c r="D4">
        <v>6</v>
      </c>
      <c r="E4">
        <v>6</v>
      </c>
      <c r="F4">
        <v>6</v>
      </c>
      <c r="G4">
        <v>1</v>
      </c>
      <c r="H4">
        <v>0</v>
      </c>
      <c r="I4">
        <v>0</v>
      </c>
      <c r="J4">
        <v>0</v>
      </c>
      <c r="M4" s="9"/>
      <c r="N4" s="9"/>
      <c r="O4" s="9"/>
      <c r="P4" s="8"/>
      <c r="Q4" s="10"/>
      <c r="R4" s="11"/>
      <c r="S4" s="10"/>
      <c r="T4" s="8"/>
      <c r="U4" s="8"/>
      <c r="V4" s="8"/>
      <c r="W4" s="8"/>
      <c r="X4" s="8"/>
      <c r="Y4" s="12"/>
      <c r="Z4" s="8"/>
    </row>
    <row r="5" spans="1:26" x14ac:dyDescent="0.25">
      <c r="A5" s="4">
        <v>96</v>
      </c>
      <c r="B5">
        <v>6</v>
      </c>
      <c r="C5">
        <v>6</v>
      </c>
      <c r="D5">
        <v>6</v>
      </c>
      <c r="E5">
        <v>6</v>
      </c>
      <c r="F5">
        <v>4</v>
      </c>
      <c r="G5">
        <v>2</v>
      </c>
      <c r="H5">
        <v>0</v>
      </c>
      <c r="I5">
        <v>0</v>
      </c>
      <c r="J5">
        <v>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4">
        <v>120</v>
      </c>
      <c r="B6">
        <v>6</v>
      </c>
      <c r="C6">
        <v>6</v>
      </c>
      <c r="D6">
        <v>6</v>
      </c>
      <c r="E6">
        <v>6</v>
      </c>
      <c r="F6">
        <v>5</v>
      </c>
      <c r="G6">
        <v>1</v>
      </c>
      <c r="H6">
        <v>0</v>
      </c>
      <c r="I6">
        <v>0</v>
      </c>
      <c r="J6">
        <v>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4">
        <v>144</v>
      </c>
      <c r="B7">
        <v>6</v>
      </c>
      <c r="C7">
        <v>6</v>
      </c>
      <c r="D7">
        <v>6</v>
      </c>
      <c r="E7">
        <v>6</v>
      </c>
      <c r="F7">
        <v>6</v>
      </c>
      <c r="G7">
        <v>1</v>
      </c>
      <c r="H7">
        <v>0</v>
      </c>
      <c r="I7">
        <v>0</v>
      </c>
      <c r="J7">
        <v>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5" x14ac:dyDescent="0.25">
      <c r="A8" s="4">
        <v>168</v>
      </c>
      <c r="B8">
        <v>6</v>
      </c>
      <c r="C8">
        <v>6</v>
      </c>
      <c r="D8">
        <v>6</v>
      </c>
      <c r="E8">
        <v>6</v>
      </c>
      <c r="F8">
        <v>5</v>
      </c>
      <c r="G8">
        <v>0</v>
      </c>
      <c r="H8">
        <v>0</v>
      </c>
      <c r="I8">
        <v>0</v>
      </c>
      <c r="J8">
        <v>0</v>
      </c>
      <c r="M8" s="9"/>
      <c r="N8" s="9"/>
      <c r="O8" s="9"/>
      <c r="P8" s="8"/>
      <c r="Q8" s="10"/>
      <c r="R8" s="10"/>
      <c r="S8" s="10"/>
      <c r="T8" s="8"/>
      <c r="U8" s="8"/>
      <c r="V8" s="8"/>
      <c r="W8" s="8"/>
      <c r="X8" s="8"/>
      <c r="Y8" s="12"/>
      <c r="Z8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57BD-1837-4FC6-9417-4266B5E1EA6C}">
  <dimension ref="A1:Z8"/>
  <sheetViews>
    <sheetView workbookViewId="0">
      <selection activeCell="K1" sqref="K1:K8"/>
    </sheetView>
  </sheetViews>
  <sheetFormatPr defaultRowHeight="12.5" x14ac:dyDescent="0.25"/>
  <cols>
    <col min="2" max="2" width="11.81640625" customWidth="1"/>
    <col min="25" max="25" width="9.81640625" bestFit="1" customWidth="1"/>
  </cols>
  <sheetData>
    <row r="1" spans="1:26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2" t="s">
        <v>2</v>
      </c>
      <c r="B2">
        <v>6</v>
      </c>
      <c r="C2">
        <v>6</v>
      </c>
      <c r="D2">
        <v>6</v>
      </c>
      <c r="E2">
        <v>6</v>
      </c>
      <c r="F2">
        <v>3</v>
      </c>
      <c r="G2">
        <v>0</v>
      </c>
      <c r="H2">
        <v>0</v>
      </c>
      <c r="I2">
        <v>0</v>
      </c>
      <c r="J2">
        <v>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4" t="s">
        <v>1</v>
      </c>
      <c r="B3">
        <v>6</v>
      </c>
      <c r="C3">
        <v>6</v>
      </c>
      <c r="D3">
        <v>6</v>
      </c>
      <c r="E3">
        <v>6</v>
      </c>
      <c r="F3">
        <v>3</v>
      </c>
      <c r="G3">
        <v>0</v>
      </c>
      <c r="H3">
        <v>0</v>
      </c>
      <c r="I3">
        <v>0</v>
      </c>
      <c r="J3">
        <v>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5" x14ac:dyDescent="0.25">
      <c r="A4" s="4">
        <v>72</v>
      </c>
      <c r="B4">
        <v>6</v>
      </c>
      <c r="C4">
        <v>6</v>
      </c>
      <c r="D4">
        <v>6</v>
      </c>
      <c r="E4">
        <v>6</v>
      </c>
      <c r="F4">
        <v>5</v>
      </c>
      <c r="G4">
        <v>0</v>
      </c>
      <c r="H4">
        <v>0</v>
      </c>
      <c r="I4">
        <v>0</v>
      </c>
      <c r="J4">
        <v>0</v>
      </c>
      <c r="M4" s="9"/>
      <c r="N4" s="9"/>
      <c r="O4" s="9"/>
      <c r="P4" s="8"/>
      <c r="Q4" s="10"/>
      <c r="R4" s="11"/>
      <c r="S4" s="10"/>
      <c r="T4" s="8"/>
      <c r="U4" s="8"/>
      <c r="V4" s="8"/>
      <c r="W4" s="8"/>
      <c r="X4" s="8"/>
      <c r="Y4" s="12"/>
      <c r="Z4" s="8"/>
    </row>
    <row r="5" spans="1:26" x14ac:dyDescent="0.25">
      <c r="A5" s="4">
        <v>96</v>
      </c>
      <c r="B5">
        <v>6</v>
      </c>
      <c r="C5">
        <v>6</v>
      </c>
      <c r="D5">
        <v>6</v>
      </c>
      <c r="E5">
        <v>6</v>
      </c>
      <c r="F5">
        <v>6</v>
      </c>
      <c r="G5">
        <v>2</v>
      </c>
      <c r="H5">
        <v>0</v>
      </c>
      <c r="I5">
        <v>0</v>
      </c>
      <c r="J5">
        <v>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4">
        <v>120</v>
      </c>
      <c r="B6">
        <v>6</v>
      </c>
      <c r="C6">
        <v>6</v>
      </c>
      <c r="D6">
        <v>6</v>
      </c>
      <c r="E6">
        <v>6</v>
      </c>
      <c r="F6">
        <v>6</v>
      </c>
      <c r="G6">
        <v>2</v>
      </c>
      <c r="H6">
        <v>0</v>
      </c>
      <c r="I6">
        <v>0</v>
      </c>
      <c r="J6">
        <v>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4">
        <v>144</v>
      </c>
      <c r="B7">
        <v>6</v>
      </c>
      <c r="C7">
        <v>6</v>
      </c>
      <c r="D7">
        <v>6</v>
      </c>
      <c r="E7">
        <v>6</v>
      </c>
      <c r="F7">
        <v>6</v>
      </c>
      <c r="G7">
        <v>1</v>
      </c>
      <c r="H7">
        <v>1</v>
      </c>
      <c r="I7">
        <v>0</v>
      </c>
      <c r="J7">
        <v>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5" x14ac:dyDescent="0.25">
      <c r="A8" s="4">
        <v>168</v>
      </c>
      <c r="B8">
        <v>6</v>
      </c>
      <c r="C8">
        <v>6</v>
      </c>
      <c r="D8">
        <v>6</v>
      </c>
      <c r="E8">
        <v>6</v>
      </c>
      <c r="F8">
        <v>6</v>
      </c>
      <c r="G8">
        <v>2</v>
      </c>
      <c r="H8">
        <v>0</v>
      </c>
      <c r="I8">
        <v>0</v>
      </c>
      <c r="J8">
        <v>0</v>
      </c>
      <c r="M8" s="9"/>
      <c r="N8" s="9"/>
      <c r="O8" s="9"/>
      <c r="P8" s="8"/>
      <c r="Q8" s="10"/>
      <c r="R8" s="10"/>
      <c r="S8" s="10"/>
      <c r="T8" s="8"/>
      <c r="U8" s="8"/>
      <c r="V8" s="8"/>
      <c r="W8" s="8"/>
      <c r="X8" s="8"/>
      <c r="Y8" s="12"/>
      <c r="Z8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AFFF-7857-4153-8894-61824DAEE6C7}">
  <dimension ref="A1:R22"/>
  <sheetViews>
    <sheetView workbookViewId="0">
      <selection activeCell="H1" sqref="H1"/>
    </sheetView>
  </sheetViews>
  <sheetFormatPr defaultRowHeight="12.5" x14ac:dyDescent="0.25"/>
  <sheetData>
    <row r="1" spans="1:18" x14ac:dyDescent="0.25">
      <c r="A1" t="s">
        <v>0</v>
      </c>
      <c r="B1" t="s">
        <v>12</v>
      </c>
      <c r="D1" t="s">
        <v>13</v>
      </c>
      <c r="F1" t="s">
        <v>14</v>
      </c>
      <c r="H1" t="s">
        <v>15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5</v>
      </c>
      <c r="R1" t="s">
        <v>10</v>
      </c>
    </row>
    <row r="2" spans="1:18" x14ac:dyDescent="0.25">
      <c r="A2" s="4">
        <v>0</v>
      </c>
      <c r="B2" s="1">
        <v>1237500</v>
      </c>
      <c r="D2" s="1">
        <v>936000</v>
      </c>
      <c r="F2" s="1">
        <v>483000</v>
      </c>
      <c r="H2" s="1">
        <v>1336500</v>
      </c>
      <c r="K2" s="1">
        <f>GEOMEAN(B2,D2,F2,H2)</f>
        <v>929895.80295589135</v>
      </c>
      <c r="L2" s="1">
        <f>LN(K2)-LN(B2)</f>
        <v>-0.28577595440484949</v>
      </c>
      <c r="M2" s="1">
        <f>LN(K2)-LN(D2)</f>
        <v>-6.5429364395956924E-3</v>
      </c>
      <c r="N2" s="1">
        <f>LN(K2)-LN(F2)</f>
        <v>0.65505588638542456</v>
      </c>
      <c r="O2" s="1">
        <f>LN(K2)-LN(H2)</f>
        <v>-0.3627369955409776</v>
      </c>
      <c r="Q2" s="1">
        <f>AVERAGE(L2:O22)</f>
        <v>-5.9211894646675015E-17</v>
      </c>
      <c r="R2">
        <f>_xlfn.STDEV.P(L2:O22)</f>
        <v>0.22991923250220503</v>
      </c>
    </row>
    <row r="3" spans="1:18" x14ac:dyDescent="0.25">
      <c r="A3" s="4">
        <v>1</v>
      </c>
      <c r="B3" s="1">
        <v>1590000</v>
      </c>
      <c r="D3" s="1">
        <v>1237500</v>
      </c>
      <c r="F3" s="1">
        <v>790500</v>
      </c>
      <c r="H3" s="1">
        <v>1005000</v>
      </c>
      <c r="K3" s="1">
        <f t="shared" ref="K3:K22" si="0">GEOMEAN(B3,D3,F3,H3)</f>
        <v>1118156.4336604264</v>
      </c>
      <c r="L3" s="1">
        <f>LN(K3)-LN(B3)</f>
        <v>-0.35205272851432134</v>
      </c>
      <c r="M3" s="1">
        <f>LN(K3)-LN(D3)</f>
        <v>-0.10141192774288932</v>
      </c>
      <c r="N3" s="1">
        <f>LN(K3)-LN(F3)</f>
        <v>0.34677091005043081</v>
      </c>
      <c r="O3" s="1">
        <f>LN(K3)-LN(H3)</f>
        <v>0.10669374620677985</v>
      </c>
    </row>
    <row r="4" spans="1:18" x14ac:dyDescent="0.25">
      <c r="A4" s="4">
        <v>2.5</v>
      </c>
      <c r="B4" s="1">
        <v>1545000</v>
      </c>
      <c r="D4" s="1">
        <v>1123500</v>
      </c>
      <c r="K4" s="1">
        <f t="shared" si="0"/>
        <v>1317500.4743832164</v>
      </c>
      <c r="L4" s="1">
        <f>LN(K4)-LN(B4)</f>
        <v>-0.15928754885323038</v>
      </c>
      <c r="M4" s="1">
        <f>LN(K4)-LN(D4)</f>
        <v>0.15928754885323215</v>
      </c>
      <c r="N4" s="1"/>
      <c r="O4" s="1"/>
      <c r="P4" s="1"/>
    </row>
    <row r="5" spans="1:18" x14ac:dyDescent="0.25">
      <c r="A5" s="4">
        <v>5</v>
      </c>
      <c r="D5" s="1">
        <v>1143000</v>
      </c>
      <c r="K5" s="1">
        <f t="shared" si="0"/>
        <v>1143000</v>
      </c>
      <c r="L5" s="1"/>
      <c r="M5" s="1"/>
      <c r="N5" s="1"/>
      <c r="O5" s="1"/>
    </row>
    <row r="6" spans="1:18" x14ac:dyDescent="0.25">
      <c r="A6" s="4">
        <v>6.5</v>
      </c>
      <c r="B6" s="1">
        <v>1092000</v>
      </c>
      <c r="D6" s="1">
        <v>1515000</v>
      </c>
      <c r="K6" s="1">
        <f t="shared" si="0"/>
        <v>1286227.0406114156</v>
      </c>
      <c r="L6" s="1">
        <f>LN(K6)-LN(B6)</f>
        <v>0.16370228081930804</v>
      </c>
      <c r="M6" s="1">
        <f>LN(K6)-LN(D6)</f>
        <v>-0.16370228081930982</v>
      </c>
      <c r="N6" s="1"/>
      <c r="O6" s="1"/>
    </row>
    <row r="7" spans="1:18" x14ac:dyDescent="0.25">
      <c r="A7" s="4">
        <v>9.5</v>
      </c>
      <c r="B7" s="1">
        <v>1362000</v>
      </c>
      <c r="K7" s="1">
        <f t="shared" si="0"/>
        <v>1362000</v>
      </c>
      <c r="L7" s="1"/>
      <c r="M7" s="1"/>
      <c r="P7" s="1"/>
      <c r="Q7" s="1"/>
    </row>
    <row r="8" spans="1:18" x14ac:dyDescent="0.25">
      <c r="A8" s="4">
        <v>12</v>
      </c>
      <c r="B8" s="1">
        <v>1425000</v>
      </c>
      <c r="K8" s="1">
        <f t="shared" si="0"/>
        <v>1425000</v>
      </c>
      <c r="L8" s="1"/>
      <c r="M8" s="1"/>
      <c r="P8" s="1"/>
      <c r="Q8" s="1"/>
    </row>
    <row r="9" spans="1:18" x14ac:dyDescent="0.25">
      <c r="A9" s="4">
        <v>14</v>
      </c>
      <c r="B9" s="1">
        <v>1980000</v>
      </c>
      <c r="K9" s="1">
        <f t="shared" si="0"/>
        <v>1980000</v>
      </c>
      <c r="L9" s="1"/>
      <c r="M9" s="1"/>
      <c r="P9" s="1"/>
      <c r="Q9" s="1"/>
    </row>
    <row r="10" spans="1:18" x14ac:dyDescent="0.25">
      <c r="A10" s="4">
        <v>22</v>
      </c>
      <c r="D10" s="1">
        <v>2160000</v>
      </c>
      <c r="K10" s="1">
        <f t="shared" si="0"/>
        <v>2160000</v>
      </c>
      <c r="L10" s="1"/>
      <c r="M10" s="1"/>
      <c r="P10" s="1"/>
      <c r="Q10" s="1"/>
    </row>
    <row r="11" spans="1:18" x14ac:dyDescent="0.25">
      <c r="A11" s="4">
        <v>26</v>
      </c>
      <c r="B11" s="1">
        <v>1920000</v>
      </c>
      <c r="D11" s="1">
        <v>1545000</v>
      </c>
      <c r="K11" s="1">
        <f t="shared" si="0"/>
        <v>1722324.0113288788</v>
      </c>
      <c r="L11" s="1">
        <f>LN(K11)-LN(B11)</f>
        <v>-0.10865063784499185</v>
      </c>
      <c r="M11" s="1">
        <f>LN(K11)-LN(D11)</f>
        <v>0.10865063784499007</v>
      </c>
    </row>
    <row r="12" spans="1:18" x14ac:dyDescent="0.25">
      <c r="A12" s="4">
        <v>32</v>
      </c>
      <c r="B12" s="1">
        <v>2475000</v>
      </c>
      <c r="D12" s="1">
        <v>1875000</v>
      </c>
      <c r="K12" s="1">
        <f t="shared" si="0"/>
        <v>2154210.9924517609</v>
      </c>
      <c r="L12" s="1">
        <f>LN(K12)-LN(B12)</f>
        <v>-0.13881586829914028</v>
      </c>
      <c r="M12" s="1">
        <f>LN(K12)-LN(D12)</f>
        <v>0.13881586829914028</v>
      </c>
      <c r="O12" s="1"/>
      <c r="P12" s="1"/>
      <c r="R12" s="1"/>
    </row>
    <row r="13" spans="1:18" x14ac:dyDescent="0.25">
      <c r="A13" s="4">
        <v>45.5</v>
      </c>
      <c r="D13" s="1">
        <v>1995000</v>
      </c>
      <c r="K13" s="1">
        <f t="shared" si="0"/>
        <v>1995000</v>
      </c>
      <c r="L13" s="1"/>
      <c r="M13" s="1"/>
      <c r="O13" s="1"/>
      <c r="P13" s="1"/>
      <c r="R13" s="1"/>
    </row>
    <row r="14" spans="1:18" x14ac:dyDescent="0.25">
      <c r="A14" s="4">
        <v>51</v>
      </c>
      <c r="D14" s="1">
        <v>1476000</v>
      </c>
      <c r="K14" s="1">
        <f t="shared" si="0"/>
        <v>1476000</v>
      </c>
      <c r="L14" s="1"/>
      <c r="M14" s="1"/>
      <c r="O14" s="1"/>
      <c r="P14" s="1"/>
      <c r="R14" s="1"/>
    </row>
    <row r="15" spans="1:18" x14ac:dyDescent="0.25">
      <c r="A15" s="4">
        <v>55.5</v>
      </c>
      <c r="B15" s="1">
        <v>1249500</v>
      </c>
      <c r="D15" s="1">
        <v>1500000</v>
      </c>
      <c r="K15" s="1">
        <f t="shared" si="0"/>
        <v>1369032.5050925564</v>
      </c>
      <c r="L15" s="1">
        <f>LN(K15)-LN(B15)</f>
        <v>9.1360818407647315E-2</v>
      </c>
      <c r="M15" s="1">
        <f>LN(K15)-LN(D15)</f>
        <v>-9.1360818407647315E-2</v>
      </c>
      <c r="N15" s="1"/>
      <c r="R15" s="1"/>
    </row>
    <row r="16" spans="1:18" x14ac:dyDescent="0.25">
      <c r="A16" s="4">
        <v>69</v>
      </c>
      <c r="D16" s="1">
        <v>1770000</v>
      </c>
      <c r="K16" s="1">
        <f t="shared" si="0"/>
        <v>1770000</v>
      </c>
      <c r="L16" s="1"/>
      <c r="M16" s="1"/>
      <c r="N16" s="1"/>
    </row>
    <row r="17" spans="1:15" x14ac:dyDescent="0.25">
      <c r="A17" s="4">
        <v>72</v>
      </c>
      <c r="F17" s="1">
        <v>1180500</v>
      </c>
      <c r="H17" s="1">
        <v>1665000</v>
      </c>
      <c r="K17" s="1">
        <f t="shared" si="0"/>
        <v>1401974.5004813748</v>
      </c>
      <c r="L17" s="1"/>
      <c r="M17" s="1"/>
      <c r="N17" s="1">
        <f>LN(K17)-LN(F17)</f>
        <v>0.17194352294448834</v>
      </c>
      <c r="O17" s="1">
        <f>LN(K17)-LN(H17)</f>
        <v>-0.17194352294448834</v>
      </c>
    </row>
    <row r="18" spans="1:15" x14ac:dyDescent="0.25">
      <c r="A18" s="4">
        <v>74</v>
      </c>
      <c r="B18" s="1">
        <v>1590000</v>
      </c>
      <c r="D18" s="1">
        <v>1545000</v>
      </c>
      <c r="K18" s="1">
        <f t="shared" si="0"/>
        <v>1567338.5084275827</v>
      </c>
      <c r="L18" s="1">
        <f>LN(K18)-LN(B18)</f>
        <v>-1.4355052941215973E-2</v>
      </c>
      <c r="M18" s="1">
        <f>LN(K18)-LN(D18)</f>
        <v>1.4355052941215973E-2</v>
      </c>
      <c r="N18" s="1"/>
      <c r="O18" s="1"/>
    </row>
    <row r="19" spans="1:15" x14ac:dyDescent="0.25">
      <c r="A19" s="4">
        <v>96</v>
      </c>
      <c r="F19" s="1">
        <v>1306500</v>
      </c>
      <c r="H19" s="1">
        <v>1590000</v>
      </c>
      <c r="K19" s="1">
        <f t="shared" si="0"/>
        <v>1441296.2915375866</v>
      </c>
      <c r="L19" s="1"/>
      <c r="M19" s="1"/>
      <c r="N19" s="1">
        <f>LN(K19)-LN(F19)</f>
        <v>9.8191105126804956E-2</v>
      </c>
      <c r="O19" s="1">
        <f>LN(K19)-LN(H19)</f>
        <v>-9.8191105126806733E-2</v>
      </c>
    </row>
    <row r="20" spans="1:15" x14ac:dyDescent="0.25">
      <c r="A20" s="4">
        <v>120</v>
      </c>
      <c r="F20" s="1">
        <v>790500</v>
      </c>
      <c r="H20" s="1">
        <v>1017000</v>
      </c>
      <c r="K20" s="1">
        <f t="shared" si="0"/>
        <v>896626.17628530122</v>
      </c>
      <c r="L20" s="1"/>
      <c r="M20" s="1"/>
      <c r="N20" s="1">
        <f>LN(K20)-LN(F20)</f>
        <v>0.12597336969951733</v>
      </c>
      <c r="O20" s="1">
        <f>LN(K20)-LN(H20)</f>
        <v>-0.12597336969951733</v>
      </c>
    </row>
    <row r="21" spans="1:15" x14ac:dyDescent="0.25">
      <c r="A21">
        <v>144</v>
      </c>
      <c r="F21" s="1">
        <v>853500</v>
      </c>
      <c r="H21" s="1">
        <v>408000</v>
      </c>
      <c r="K21" s="1">
        <f t="shared" si="0"/>
        <v>590108.46460629592</v>
      </c>
      <c r="L21" s="1"/>
      <c r="M21" s="1"/>
      <c r="N21" s="1">
        <f>LN(K21)-LN(F21)</f>
        <v>-0.36903918391516655</v>
      </c>
      <c r="O21" s="1">
        <f>LN(K21)-LN(H21)</f>
        <v>0.36903918391516655</v>
      </c>
    </row>
    <row r="22" spans="1:15" x14ac:dyDescent="0.25">
      <c r="A22">
        <v>168</v>
      </c>
      <c r="F22" s="1">
        <v>333000</v>
      </c>
      <c r="H22" s="1">
        <v>534000</v>
      </c>
      <c r="K22" s="1">
        <f t="shared" si="0"/>
        <v>421689.45919953939</v>
      </c>
      <c r="L22" s="1"/>
      <c r="M22" s="1"/>
      <c r="N22" s="1">
        <f>LN(K22)-LN(F22)</f>
        <v>0.23612667448987601</v>
      </c>
      <c r="O22" s="1">
        <f>LN(K22)-LN(H22)</f>
        <v>-0.23612667448987601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7D24-F4DE-4419-A0E9-E16B05AE1614}">
  <dimension ref="A1:R22"/>
  <sheetViews>
    <sheetView workbookViewId="0">
      <selection activeCell="H1" sqref="H1"/>
    </sheetView>
  </sheetViews>
  <sheetFormatPr defaultRowHeight="12.5" x14ac:dyDescent="0.25"/>
  <sheetData>
    <row r="1" spans="1:18" x14ac:dyDescent="0.25">
      <c r="A1" t="s">
        <v>0</v>
      </c>
      <c r="B1" t="s">
        <v>12</v>
      </c>
      <c r="D1" t="s">
        <v>13</v>
      </c>
      <c r="F1" t="s">
        <v>14</v>
      </c>
      <c r="H1" t="s">
        <v>15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5</v>
      </c>
      <c r="R1" t="s">
        <v>10</v>
      </c>
    </row>
    <row r="2" spans="1:18" x14ac:dyDescent="0.25">
      <c r="A2" s="4">
        <v>0</v>
      </c>
      <c r="B2" s="1">
        <v>1590000</v>
      </c>
      <c r="D2" s="1">
        <v>1029000</v>
      </c>
      <c r="F2" s="1">
        <v>936000</v>
      </c>
      <c r="H2" s="1">
        <v>1231500</v>
      </c>
      <c r="K2" s="1">
        <f>GEOMEAN(B2,D2,F2,H2)</f>
        <v>1171873.3852896111</v>
      </c>
      <c r="L2" s="1">
        <f>LN(K2)-LN(B2)</f>
        <v>-0.30513036394265036</v>
      </c>
      <c r="M2" s="1">
        <f>LN(K2)-LN(D2)</f>
        <v>0.13001619543757847</v>
      </c>
      <c r="N2" s="1">
        <f>LN(K2)-LN(F2)</f>
        <v>0.22474345479403546</v>
      </c>
      <c r="O2" s="1">
        <f>LN(K2)-LN(H2)</f>
        <v>-4.9629286288965346E-2</v>
      </c>
      <c r="Q2" s="1">
        <f>AVERAGE(L2:O22)</f>
        <v>-4.1448326252672511E-16</v>
      </c>
      <c r="R2">
        <f>_xlfn.STDEV.P(L2:O22)</f>
        <v>0.25822740131363292</v>
      </c>
    </row>
    <row r="3" spans="1:18" x14ac:dyDescent="0.25">
      <c r="A3" s="4">
        <v>1</v>
      </c>
      <c r="B3" s="1">
        <v>1330500</v>
      </c>
      <c r="D3" s="1">
        <v>1060500</v>
      </c>
      <c r="F3" s="1">
        <v>672000</v>
      </c>
      <c r="H3" s="1">
        <v>741000</v>
      </c>
      <c r="K3" s="1">
        <f t="shared" ref="K3:K22" si="0">GEOMEAN(B3,D3,F3,H3)</f>
        <v>915541.97063672042</v>
      </c>
      <c r="L3" s="1">
        <f>LN(K3)-LN(B3)</f>
        <v>-0.3737938828573153</v>
      </c>
      <c r="M3" s="1">
        <f>LN(K3)-LN(D3)</f>
        <v>-0.14697956644430832</v>
      </c>
      <c r="N3" s="1">
        <f>LN(K3)-LN(F3)</f>
        <v>0.30925786703727987</v>
      </c>
      <c r="O3" s="1">
        <f>LN(K3)-LN(H3)</f>
        <v>0.21151558226434197</v>
      </c>
    </row>
    <row r="4" spans="1:18" x14ac:dyDescent="0.25">
      <c r="A4" s="4">
        <v>2.5</v>
      </c>
      <c r="B4" s="1">
        <v>1086000</v>
      </c>
      <c r="D4" s="1">
        <v>928500</v>
      </c>
      <c r="K4" s="1">
        <f t="shared" si="0"/>
        <v>1004166.8188105002</v>
      </c>
      <c r="L4" s="1">
        <f>LN(K4)-LN(B4)</f>
        <v>-7.8343059850560337E-2</v>
      </c>
      <c r="M4" s="1">
        <f>LN(K4)-LN(D4)</f>
        <v>7.8343059850560337E-2</v>
      </c>
      <c r="N4" s="1"/>
      <c r="O4" s="1"/>
      <c r="P4" s="1"/>
    </row>
    <row r="5" spans="1:18" x14ac:dyDescent="0.25">
      <c r="A5" s="4">
        <v>5</v>
      </c>
      <c r="D5" s="1">
        <v>1515000</v>
      </c>
      <c r="K5" s="1">
        <f t="shared" si="0"/>
        <v>1515000</v>
      </c>
      <c r="L5" s="1"/>
      <c r="M5" s="1"/>
      <c r="N5" s="1"/>
      <c r="O5" s="1"/>
    </row>
    <row r="6" spans="1:18" x14ac:dyDescent="0.25">
      <c r="A6" s="4">
        <v>6.5</v>
      </c>
      <c r="B6" s="1">
        <v>1192500</v>
      </c>
      <c r="D6" s="1">
        <v>1425000</v>
      </c>
      <c r="K6" s="1">
        <f t="shared" si="0"/>
        <v>1303576.8101650167</v>
      </c>
      <c r="L6" s="1">
        <f>LN(K6)-LN(B6)</f>
        <v>8.9059934970126875E-2</v>
      </c>
      <c r="M6" s="1">
        <f>LN(K6)-LN(D6)</f>
        <v>-8.9059934970126875E-2</v>
      </c>
      <c r="N6" s="1"/>
      <c r="O6" s="1"/>
    </row>
    <row r="7" spans="1:18" x14ac:dyDescent="0.25">
      <c r="A7" s="4">
        <v>9.5</v>
      </c>
      <c r="B7" s="1">
        <v>2265000</v>
      </c>
      <c r="K7" s="1">
        <f t="shared" si="0"/>
        <v>2265000</v>
      </c>
      <c r="L7" s="1"/>
      <c r="M7" s="1"/>
      <c r="P7" s="1"/>
      <c r="Q7" s="1"/>
    </row>
    <row r="8" spans="1:18" x14ac:dyDescent="0.25">
      <c r="A8" s="4">
        <v>12</v>
      </c>
      <c r="B8" s="1">
        <v>2295000</v>
      </c>
      <c r="K8" s="1">
        <f t="shared" si="0"/>
        <v>2295000</v>
      </c>
      <c r="L8" s="1"/>
      <c r="M8" s="1"/>
      <c r="P8" s="1"/>
      <c r="Q8" s="1"/>
    </row>
    <row r="9" spans="1:18" x14ac:dyDescent="0.25">
      <c r="A9" s="4">
        <v>14</v>
      </c>
      <c r="B9" s="1">
        <v>2490000</v>
      </c>
      <c r="K9" s="1">
        <f t="shared" si="0"/>
        <v>2490000</v>
      </c>
      <c r="L9" s="1"/>
      <c r="M9" s="1"/>
      <c r="P9" s="1"/>
      <c r="Q9" s="1"/>
    </row>
    <row r="10" spans="1:18" x14ac:dyDescent="0.25">
      <c r="A10" s="4">
        <v>22</v>
      </c>
      <c r="D10" s="1">
        <v>1530000</v>
      </c>
      <c r="K10" s="1">
        <f t="shared" si="0"/>
        <v>1530000</v>
      </c>
      <c r="L10" s="1"/>
      <c r="M10" s="1"/>
      <c r="P10" s="1"/>
      <c r="Q10" s="1"/>
    </row>
    <row r="11" spans="1:18" x14ac:dyDescent="0.25">
      <c r="A11" s="4">
        <v>26</v>
      </c>
      <c r="B11" s="1">
        <v>1920000</v>
      </c>
      <c r="D11" s="1">
        <v>936000</v>
      </c>
      <c r="K11" s="1">
        <f t="shared" si="0"/>
        <v>1340567.0442018183</v>
      </c>
      <c r="L11" s="1">
        <f>LN(K11)-LN(B11)</f>
        <v>-0.35923249427211879</v>
      </c>
      <c r="M11" s="1">
        <f>LN(K11)-LN(D11)</f>
        <v>0.35923249427211701</v>
      </c>
    </row>
    <row r="12" spans="1:18" x14ac:dyDescent="0.25">
      <c r="A12" s="4">
        <v>32</v>
      </c>
      <c r="B12" s="1">
        <v>1387500</v>
      </c>
      <c r="D12" s="1">
        <v>1098000</v>
      </c>
      <c r="K12" s="1">
        <f t="shared" si="0"/>
        <v>1234291.2946302425</v>
      </c>
      <c r="L12" s="1">
        <f>LN(K12)-LN(B12)</f>
        <v>-0.11700661177555816</v>
      </c>
      <c r="M12" s="1">
        <f>LN(K12)-LN(D12)</f>
        <v>0.11700661177555638</v>
      </c>
      <c r="O12" s="1"/>
      <c r="P12" s="1"/>
      <c r="R12" s="1"/>
    </row>
    <row r="13" spans="1:18" x14ac:dyDescent="0.25">
      <c r="A13" s="4">
        <v>45.5</v>
      </c>
      <c r="D13" s="1">
        <v>1098000</v>
      </c>
      <c r="K13" s="1">
        <f t="shared" si="0"/>
        <v>1098000</v>
      </c>
      <c r="L13" s="1"/>
      <c r="M13" s="1"/>
      <c r="O13" s="1"/>
      <c r="P13" s="1"/>
      <c r="R13" s="1"/>
    </row>
    <row r="14" spans="1:18" x14ac:dyDescent="0.25">
      <c r="A14" s="4">
        <v>51</v>
      </c>
      <c r="D14" s="1">
        <v>985500</v>
      </c>
      <c r="K14" s="1">
        <f t="shared" si="0"/>
        <v>985500</v>
      </c>
      <c r="L14" s="1"/>
      <c r="M14" s="1"/>
      <c r="O14" s="1"/>
      <c r="P14" s="1"/>
      <c r="R14" s="1"/>
    </row>
    <row r="15" spans="1:18" x14ac:dyDescent="0.25">
      <c r="A15" s="4">
        <v>55.5</v>
      </c>
      <c r="B15" s="1">
        <v>546000</v>
      </c>
      <c r="D15" s="1">
        <v>1218000</v>
      </c>
      <c r="K15" s="1">
        <f t="shared" si="0"/>
        <v>815492.48923579918</v>
      </c>
      <c r="L15" s="1">
        <f>LN(K15)-LN(B15)</f>
        <v>0.40117323626246737</v>
      </c>
      <c r="M15" s="1">
        <f>LN(K15)-LN(D15)</f>
        <v>-0.40117323626246915</v>
      </c>
      <c r="N15" s="1"/>
      <c r="R15" s="1"/>
    </row>
    <row r="16" spans="1:18" x14ac:dyDescent="0.25">
      <c r="A16" s="4">
        <v>69</v>
      </c>
      <c r="D16" s="1">
        <v>942000</v>
      </c>
      <c r="K16" s="1">
        <f t="shared" si="0"/>
        <v>942000</v>
      </c>
      <c r="L16" s="1"/>
      <c r="M16" s="1"/>
      <c r="N16" s="1"/>
    </row>
    <row r="17" spans="1:15" ht="14.5" x14ac:dyDescent="0.35">
      <c r="A17" s="4">
        <v>72</v>
      </c>
      <c r="F17" s="7">
        <v>841500</v>
      </c>
      <c r="H17" s="7">
        <v>1488000</v>
      </c>
      <c r="K17" s="1">
        <f t="shared" si="0"/>
        <v>1118995.9785450527</v>
      </c>
      <c r="L17" s="1"/>
      <c r="M17" s="1"/>
      <c r="N17" s="1">
        <f>LN(K17)-LN(F17)</f>
        <v>0.28500110088108777</v>
      </c>
      <c r="O17" s="1">
        <f>LN(K17)-LN(H17)</f>
        <v>-0.28500110088108954</v>
      </c>
    </row>
    <row r="18" spans="1:15" x14ac:dyDescent="0.25">
      <c r="A18" s="4">
        <v>74</v>
      </c>
      <c r="B18" s="1">
        <v>1560000</v>
      </c>
      <c r="D18" s="1">
        <v>1255500</v>
      </c>
      <c r="K18" s="1">
        <f t="shared" si="0"/>
        <v>1399492.7652546118</v>
      </c>
      <c r="L18" s="1">
        <f>LN(K18)-LN(B18)</f>
        <v>-0.1085759608229715</v>
      </c>
      <c r="M18" s="1">
        <f>LN(K18)-LN(D18)</f>
        <v>0.1085759608229715</v>
      </c>
      <c r="N18" s="1"/>
      <c r="O18" s="1"/>
    </row>
    <row r="19" spans="1:15" ht="14.5" x14ac:dyDescent="0.35">
      <c r="A19" s="4">
        <v>96</v>
      </c>
      <c r="F19" s="7">
        <v>810000</v>
      </c>
      <c r="H19" s="7">
        <v>1249500</v>
      </c>
      <c r="K19" s="1">
        <f t="shared" si="0"/>
        <v>1006029.3236282927</v>
      </c>
      <c r="L19" s="1"/>
      <c r="M19" s="1"/>
      <c r="N19" s="1">
        <f>LN(K19)-LN(F19)</f>
        <v>0.21673225130426133</v>
      </c>
      <c r="O19" s="1">
        <f>LN(K19)-LN(H19)</f>
        <v>-0.21673225130426133</v>
      </c>
    </row>
    <row r="20" spans="1:15" ht="14.5" x14ac:dyDescent="0.35">
      <c r="A20" s="4">
        <v>120</v>
      </c>
      <c r="F20" s="7">
        <v>621000</v>
      </c>
      <c r="H20" s="7">
        <v>1017000</v>
      </c>
      <c r="K20" s="1">
        <f t="shared" si="0"/>
        <v>794705.60586924257</v>
      </c>
      <c r="L20" s="1"/>
      <c r="M20" s="1"/>
      <c r="N20" s="1">
        <f>LN(K20)-LN(F20)</f>
        <v>0.24664065705754012</v>
      </c>
      <c r="O20" s="1">
        <f>LN(K20)-LN(H20)</f>
        <v>-0.2466406570575419</v>
      </c>
    </row>
    <row r="21" spans="1:15" x14ac:dyDescent="0.25">
      <c r="A21">
        <v>144</v>
      </c>
      <c r="F21" s="1">
        <v>345000</v>
      </c>
      <c r="H21" s="1">
        <v>766500</v>
      </c>
      <c r="K21" s="1">
        <f t="shared" si="0"/>
        <v>514239.73008704802</v>
      </c>
      <c r="L21" s="1"/>
      <c r="M21" s="1"/>
      <c r="N21" s="1">
        <f>LN(K21)-LN(F21)</f>
        <v>0.39914514064025397</v>
      </c>
      <c r="O21" s="1">
        <f>LN(K21)-LN(H21)</f>
        <v>-0.39914514064025575</v>
      </c>
    </row>
    <row r="22" spans="1:15" ht="14.5" x14ac:dyDescent="0.35">
      <c r="A22">
        <v>168</v>
      </c>
      <c r="F22" s="7">
        <v>244500</v>
      </c>
      <c r="H22" s="7">
        <v>445500</v>
      </c>
      <c r="K22" s="1">
        <f t="shared" si="0"/>
        <v>330037.49786956026</v>
      </c>
      <c r="L22" s="1"/>
      <c r="M22" s="1"/>
      <c r="N22" s="1">
        <f>LN(K22)-LN(F22)</f>
        <v>0.29999096899796918</v>
      </c>
      <c r="O22" s="1">
        <f>LN(K22)-LN(H22)</f>
        <v>-0.2999909689979674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90BD-3E5C-4B42-BA1B-5858B4DC1166}">
  <dimension ref="A1:R22"/>
  <sheetViews>
    <sheetView workbookViewId="0">
      <selection activeCell="H1" sqref="H1"/>
    </sheetView>
  </sheetViews>
  <sheetFormatPr defaultRowHeight="12.5" x14ac:dyDescent="0.25"/>
  <cols>
    <col min="12" max="12" width="9.90625" customWidth="1"/>
    <col min="13" max="13" width="11.08984375" customWidth="1"/>
    <col min="14" max="14" width="9.7265625" customWidth="1"/>
  </cols>
  <sheetData>
    <row r="1" spans="1:18" x14ac:dyDescent="0.25">
      <c r="A1" t="s">
        <v>0</v>
      </c>
      <c r="B1" t="s">
        <v>12</v>
      </c>
      <c r="D1" t="s">
        <v>13</v>
      </c>
      <c r="F1" t="s">
        <v>14</v>
      </c>
      <c r="H1" t="s">
        <v>15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5</v>
      </c>
      <c r="R1" t="s">
        <v>11</v>
      </c>
    </row>
    <row r="2" spans="1:18" ht="15.5" x14ac:dyDescent="0.25">
      <c r="A2" s="4">
        <v>0</v>
      </c>
      <c r="B2" s="9">
        <v>451.1</v>
      </c>
      <c r="D2" s="9">
        <v>3493.3999999999996</v>
      </c>
      <c r="F2" s="1"/>
      <c r="H2" s="1"/>
      <c r="K2" s="1">
        <f>GEOMEAN(B2,D2,F2,H2)</f>
        <v>1255.337699585255</v>
      </c>
      <c r="L2" s="1">
        <f>LN(K2)-LN(B2)</f>
        <v>1.0234708542899709</v>
      </c>
      <c r="M2" s="1">
        <f>LN(K2)-LN(D2)</f>
        <v>-1.0234708542899718</v>
      </c>
      <c r="N2" s="1"/>
      <c r="O2" s="1"/>
      <c r="Q2" s="1">
        <f>AVERAGE(L2:O22)</f>
        <v>-2.7755575615628914E-16</v>
      </c>
      <c r="R2">
        <f>_xlfn.STDEV.P(L2:O22)</f>
        <v>0.76121990632629233</v>
      </c>
    </row>
    <row r="3" spans="1:18" ht="15.5" x14ac:dyDescent="0.25">
      <c r="A3" s="4">
        <v>1</v>
      </c>
      <c r="B3" s="9">
        <v>237.5</v>
      </c>
      <c r="D3" s="9">
        <v>981.80000000000007</v>
      </c>
      <c r="F3" s="1"/>
      <c r="H3" s="1"/>
      <c r="K3" s="1">
        <f t="shared" ref="K3:K22" si="0">GEOMEAN(B3,D3,F3,H3)</f>
        <v>482.88456177434375</v>
      </c>
      <c r="L3" s="1">
        <f>LN(K3)-LN(B3)</f>
        <v>0.70960999907462785</v>
      </c>
      <c r="M3" s="1">
        <f>LN(K3)-LN(D3)</f>
        <v>-0.70960999907462874</v>
      </c>
      <c r="N3" s="1"/>
      <c r="O3" s="1"/>
    </row>
    <row r="4" spans="1:18" x14ac:dyDescent="0.25">
      <c r="A4" s="4">
        <v>2.5</v>
      </c>
      <c r="B4" s="1"/>
      <c r="D4" s="1"/>
      <c r="K4" s="1"/>
      <c r="L4" s="1"/>
      <c r="M4" s="1"/>
      <c r="N4" s="1"/>
      <c r="O4" s="1"/>
      <c r="P4" s="1"/>
    </row>
    <row r="5" spans="1:18" ht="15.5" x14ac:dyDescent="0.25">
      <c r="A5" s="4">
        <v>5</v>
      </c>
      <c r="D5" s="9">
        <v>3.9000000000000004</v>
      </c>
      <c r="K5" s="1">
        <f t="shared" si="0"/>
        <v>3.9000000000000004</v>
      </c>
      <c r="L5" s="1"/>
      <c r="M5" s="1"/>
      <c r="N5" s="1"/>
      <c r="O5" s="1"/>
    </row>
    <row r="6" spans="1:18" x14ac:dyDescent="0.25">
      <c r="A6" s="4">
        <v>6.5</v>
      </c>
      <c r="B6" s="1"/>
      <c r="D6" s="1"/>
      <c r="K6" s="1"/>
      <c r="L6" s="1"/>
      <c r="M6" s="1"/>
      <c r="N6" s="1"/>
      <c r="O6" s="1"/>
    </row>
    <row r="7" spans="1:18" ht="15.5" x14ac:dyDescent="0.25">
      <c r="A7" s="4">
        <v>9.5</v>
      </c>
      <c r="B7" s="9">
        <v>141.69999999999999</v>
      </c>
      <c r="D7" s="1"/>
      <c r="K7" s="1">
        <f t="shared" si="0"/>
        <v>141.69999999999999</v>
      </c>
      <c r="L7" s="1"/>
      <c r="M7" s="1"/>
      <c r="P7" s="1"/>
      <c r="Q7" s="1"/>
    </row>
    <row r="8" spans="1:18" ht="15.5" x14ac:dyDescent="0.25">
      <c r="A8" s="4">
        <v>12</v>
      </c>
      <c r="B8" s="9">
        <v>704.5</v>
      </c>
      <c r="D8" s="1"/>
      <c r="K8" s="1">
        <f t="shared" si="0"/>
        <v>704.5</v>
      </c>
      <c r="L8" s="1"/>
      <c r="M8" s="1"/>
      <c r="P8" s="1"/>
      <c r="Q8" s="1"/>
    </row>
    <row r="9" spans="1:18" ht="15.5" x14ac:dyDescent="0.25">
      <c r="A9" s="4">
        <v>14</v>
      </c>
      <c r="B9" s="9">
        <v>1194</v>
      </c>
      <c r="D9" s="1"/>
      <c r="K9" s="1">
        <f t="shared" si="0"/>
        <v>1194</v>
      </c>
      <c r="L9" s="1"/>
      <c r="M9" s="1"/>
      <c r="P9" s="1"/>
      <c r="Q9" s="1"/>
    </row>
    <row r="10" spans="1:18" ht="15.5" x14ac:dyDescent="0.25">
      <c r="A10" s="4">
        <v>22</v>
      </c>
      <c r="D10" s="9">
        <v>10939.400000000001</v>
      </c>
      <c r="K10" s="1">
        <f t="shared" si="0"/>
        <v>10939.400000000001</v>
      </c>
      <c r="L10" s="1"/>
      <c r="M10" s="1"/>
      <c r="P10" s="1"/>
      <c r="Q10" s="1"/>
    </row>
    <row r="11" spans="1:18" ht="15.5" x14ac:dyDescent="0.25">
      <c r="A11" s="4">
        <v>26</v>
      </c>
      <c r="B11" s="9">
        <v>2174.5</v>
      </c>
      <c r="D11" s="9">
        <v>6744.9</v>
      </c>
      <c r="K11" s="1">
        <f t="shared" si="0"/>
        <v>3829.7238869140424</v>
      </c>
      <c r="L11" s="1">
        <f>LN(K11)-LN(B11)</f>
        <v>0.56599395534868702</v>
      </c>
      <c r="M11" s="1">
        <f>LN(K11)-LN(D11)</f>
        <v>-0.56599395534868613</v>
      </c>
    </row>
    <row r="12" spans="1:18" ht="15.5" x14ac:dyDescent="0.25">
      <c r="A12" s="4">
        <v>32</v>
      </c>
      <c r="B12" s="9">
        <v>6476.5</v>
      </c>
      <c r="D12" s="9">
        <v>6199.2</v>
      </c>
      <c r="K12" s="1">
        <f t="shared" si="0"/>
        <v>6336.3332298735677</v>
      </c>
      <c r="L12" s="1">
        <f>LN(K12)-LN(B12)</f>
        <v>-2.1879994760285015E-2</v>
      </c>
      <c r="M12" s="1">
        <f>LN(K12)-LN(D12)</f>
        <v>2.1879994760285015E-2</v>
      </c>
      <c r="O12" s="1"/>
      <c r="P12" s="1"/>
      <c r="R12" s="1"/>
    </row>
    <row r="13" spans="1:18" ht="15.5" x14ac:dyDescent="0.25">
      <c r="A13" s="4">
        <v>45.5</v>
      </c>
      <c r="D13" s="9">
        <v>6177.4</v>
      </c>
      <c r="K13" s="1">
        <f t="shared" si="0"/>
        <v>6177.4</v>
      </c>
      <c r="L13" s="1"/>
      <c r="M13" s="1"/>
      <c r="O13" s="1"/>
      <c r="P13" s="1"/>
      <c r="R13" s="1"/>
    </row>
    <row r="14" spans="1:18" x14ac:dyDescent="0.25">
      <c r="A14" s="4">
        <v>51</v>
      </c>
      <c r="D14" s="1"/>
      <c r="K14" s="1"/>
      <c r="L14" s="1"/>
      <c r="M14" s="1"/>
      <c r="O14" s="1"/>
      <c r="P14" s="1"/>
      <c r="R14" s="1"/>
    </row>
    <row r="15" spans="1:18" ht="15.5" x14ac:dyDescent="0.25">
      <c r="A15" s="4">
        <v>55.5</v>
      </c>
      <c r="B15" s="9">
        <v>13125.3</v>
      </c>
      <c r="D15" s="9">
        <v>5738</v>
      </c>
      <c r="K15" s="1">
        <f t="shared" si="0"/>
        <v>8678.304638580048</v>
      </c>
      <c r="L15" s="1">
        <f>LN(K15)-LN(B15)</f>
        <v>-0.41371547390007635</v>
      </c>
      <c r="M15" s="1">
        <f>LN(K15)-LN(D15)</f>
        <v>0.41371547390007457</v>
      </c>
      <c r="N15" s="1"/>
      <c r="R15" s="1"/>
    </row>
    <row r="16" spans="1:18" x14ac:dyDescent="0.25">
      <c r="A16" s="4">
        <v>69</v>
      </c>
      <c r="D16" s="1"/>
      <c r="K16" s="1"/>
      <c r="L16" s="1"/>
      <c r="M16" s="1"/>
      <c r="N16" s="1"/>
    </row>
    <row r="17" spans="1:15" ht="15.5" x14ac:dyDescent="0.25">
      <c r="A17" s="4">
        <v>72</v>
      </c>
      <c r="D17" s="1"/>
      <c r="F17" s="9">
        <v>9651.1</v>
      </c>
      <c r="H17" s="9">
        <v>10785.8</v>
      </c>
      <c r="K17" s="1">
        <f t="shared" si="0"/>
        <v>10202.687605724288</v>
      </c>
      <c r="L17" s="1"/>
      <c r="M17" s="1"/>
      <c r="N17" s="1">
        <f>LN(K17)-LN(F17)</f>
        <v>5.557927784803951E-2</v>
      </c>
      <c r="O17" s="1">
        <f>LN(K17)-LN(H17)</f>
        <v>-5.5579277848041286E-2</v>
      </c>
    </row>
    <row r="18" spans="1:15" ht="15.5" x14ac:dyDescent="0.25">
      <c r="A18" s="4">
        <v>74</v>
      </c>
      <c r="B18" s="9">
        <v>74514.399999999994</v>
      </c>
      <c r="D18" s="9">
        <v>3373.8</v>
      </c>
      <c r="K18" s="1">
        <f t="shared" si="0"/>
        <v>15855.493770929999</v>
      </c>
      <c r="L18" s="1">
        <f>LN(K18)-LN(B18)</f>
        <v>-1.5474763448771061</v>
      </c>
      <c r="M18" s="1">
        <f>LN(K18)-LN(D18)</f>
        <v>1.5474763448771043</v>
      </c>
      <c r="N18" s="1"/>
      <c r="O18" s="1"/>
    </row>
    <row r="19" spans="1:15" x14ac:dyDescent="0.25">
      <c r="A19" s="4">
        <v>96</v>
      </c>
      <c r="F19" s="1"/>
      <c r="K19" s="1"/>
      <c r="L19" s="1"/>
      <c r="M19" s="1"/>
      <c r="N19" s="1"/>
      <c r="O19" s="1"/>
    </row>
    <row r="20" spans="1:15" x14ac:dyDescent="0.25">
      <c r="A20" s="4">
        <v>120</v>
      </c>
      <c r="F20" s="1"/>
      <c r="K20" s="1"/>
      <c r="L20" s="1"/>
      <c r="M20" s="1"/>
      <c r="N20" s="1"/>
      <c r="O20" s="1"/>
    </row>
    <row r="21" spans="1:15" x14ac:dyDescent="0.25">
      <c r="A21">
        <v>144</v>
      </c>
      <c r="F21" s="1"/>
      <c r="H21" s="1"/>
      <c r="K21" s="1"/>
      <c r="L21" s="1"/>
      <c r="M21" s="1"/>
      <c r="N21" s="1"/>
      <c r="O21" s="1"/>
    </row>
    <row r="22" spans="1:15" ht="15.5" x14ac:dyDescent="0.25">
      <c r="A22">
        <v>168</v>
      </c>
      <c r="F22" s="9">
        <v>14069.9</v>
      </c>
      <c r="H22" s="9">
        <v>34017.199999999997</v>
      </c>
      <c r="K22" s="1">
        <f t="shared" si="0"/>
        <v>21877.353639780111</v>
      </c>
      <c r="L22" s="1"/>
      <c r="M22" s="1"/>
      <c r="N22" s="1">
        <f>LN(K22)-LN(F22)</f>
        <v>0.441414257636632</v>
      </c>
      <c r="O22" s="1">
        <f>LN(K22)-LN(H22)</f>
        <v>-0.44141425763663023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CD40-414F-438D-9E5A-5DB13C9D274A}">
  <dimension ref="A1:R22"/>
  <sheetViews>
    <sheetView workbookViewId="0">
      <selection activeCell="H1" sqref="H1"/>
    </sheetView>
  </sheetViews>
  <sheetFormatPr defaultRowHeight="12.5" x14ac:dyDescent="0.25"/>
  <cols>
    <col min="13" max="13" width="11.08984375" customWidth="1"/>
    <col min="14" max="14" width="9.7265625" customWidth="1"/>
  </cols>
  <sheetData>
    <row r="1" spans="1:18" x14ac:dyDescent="0.25">
      <c r="A1" t="s">
        <v>0</v>
      </c>
      <c r="B1" t="s">
        <v>12</v>
      </c>
      <c r="D1" t="s">
        <v>13</v>
      </c>
      <c r="F1" t="s">
        <v>14</v>
      </c>
      <c r="H1" t="s">
        <v>15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5</v>
      </c>
      <c r="R1" t="s">
        <v>11</v>
      </c>
    </row>
    <row r="2" spans="1:18" ht="15.5" x14ac:dyDescent="0.25">
      <c r="A2" s="4">
        <v>0</v>
      </c>
      <c r="B2" s="9">
        <v>433.69</v>
      </c>
      <c r="D2" s="9">
        <v>1176.79</v>
      </c>
      <c r="F2" s="1"/>
      <c r="H2" s="1"/>
      <c r="K2" s="1">
        <f>GEOMEAN(B2,D2,F2,H2)</f>
        <v>714.39628715440563</v>
      </c>
      <c r="L2" s="1">
        <f>LN(K2)-LN(B2)</f>
        <v>0.49910783923396007</v>
      </c>
      <c r="M2" s="1">
        <f>LN(K2)-LN(D2)</f>
        <v>-0.49910783923396007</v>
      </c>
      <c r="N2" s="1"/>
      <c r="O2" s="1"/>
      <c r="Q2" s="1">
        <f>AVERAGE(L2:O22)</f>
        <v>-3.3306690738754696E-16</v>
      </c>
      <c r="R2">
        <f>_xlfn.STDEV.P(L2:O22)</f>
        <v>1.0521678918446831</v>
      </c>
    </row>
    <row r="3" spans="1:18" ht="15.5" x14ac:dyDescent="0.25">
      <c r="A3" s="4">
        <v>1</v>
      </c>
      <c r="B3" s="9">
        <v>26.07</v>
      </c>
      <c r="D3" s="9">
        <v>1721.75</v>
      </c>
      <c r="F3" s="1"/>
      <c r="H3" s="1"/>
      <c r="K3" s="1">
        <f t="shared" ref="K3:K22" si="0">GEOMEAN(B3,D3,F3,H3)</f>
        <v>211.86321648648686</v>
      </c>
      <c r="L3" s="1">
        <f>LN(K3)-LN(B3)</f>
        <v>2.095155633239699</v>
      </c>
      <c r="M3" s="1">
        <f>LN(K3)-LN(D3)</f>
        <v>-2.0951556332396981</v>
      </c>
      <c r="N3" s="1"/>
      <c r="O3" s="1"/>
    </row>
    <row r="4" spans="1:18" x14ac:dyDescent="0.25">
      <c r="A4" s="4">
        <v>2.5</v>
      </c>
      <c r="B4" s="1"/>
      <c r="D4" s="1"/>
      <c r="K4" s="1"/>
      <c r="L4" s="1"/>
      <c r="M4" s="1"/>
      <c r="N4" s="1"/>
      <c r="O4" s="1"/>
      <c r="P4" s="1"/>
    </row>
    <row r="5" spans="1:18" ht="15.5" x14ac:dyDescent="0.25">
      <c r="A5" s="4">
        <v>5</v>
      </c>
      <c r="D5" s="9">
        <v>1.58</v>
      </c>
      <c r="K5" s="1">
        <f t="shared" si="0"/>
        <v>1.58</v>
      </c>
      <c r="L5" s="1"/>
      <c r="M5" s="1"/>
      <c r="N5" s="1"/>
      <c r="O5" s="1"/>
    </row>
    <row r="6" spans="1:18" x14ac:dyDescent="0.25">
      <c r="A6" s="4">
        <v>6.5</v>
      </c>
      <c r="B6" s="1"/>
      <c r="D6" s="1"/>
      <c r="K6" s="1"/>
      <c r="L6" s="1"/>
      <c r="M6" s="1"/>
      <c r="N6" s="1"/>
      <c r="O6" s="1"/>
    </row>
    <row r="7" spans="1:18" ht="15.5" x14ac:dyDescent="0.25">
      <c r="A7" s="4">
        <v>9.5</v>
      </c>
      <c r="B7" s="9">
        <v>403.95</v>
      </c>
      <c r="D7" s="1"/>
      <c r="K7" s="1">
        <f t="shared" si="0"/>
        <v>403.95</v>
      </c>
      <c r="L7" s="1"/>
      <c r="M7" s="1"/>
      <c r="P7" s="1"/>
      <c r="Q7" s="1"/>
    </row>
    <row r="8" spans="1:18" ht="15.5" x14ac:dyDescent="0.25">
      <c r="A8" s="4">
        <v>12</v>
      </c>
      <c r="B8" s="9">
        <v>873.74</v>
      </c>
      <c r="D8" s="1"/>
      <c r="K8" s="1">
        <f t="shared" si="0"/>
        <v>873.74</v>
      </c>
      <c r="L8" s="1"/>
      <c r="M8" s="1"/>
      <c r="P8" s="1"/>
      <c r="Q8" s="1"/>
    </row>
    <row r="9" spans="1:18" ht="15.5" x14ac:dyDescent="0.25">
      <c r="A9" s="4">
        <v>14</v>
      </c>
      <c r="B9" s="9">
        <v>3458.21</v>
      </c>
      <c r="D9" s="1"/>
      <c r="K9" s="1">
        <f t="shared" si="0"/>
        <v>3458.21</v>
      </c>
      <c r="L9" s="1"/>
      <c r="M9" s="1"/>
      <c r="P9" s="1"/>
      <c r="Q9" s="1"/>
    </row>
    <row r="10" spans="1:18" ht="15.5" x14ac:dyDescent="0.25">
      <c r="A10" s="4">
        <v>22</v>
      </c>
      <c r="D10" s="9">
        <v>4843.07</v>
      </c>
      <c r="K10" s="1">
        <f t="shared" si="0"/>
        <v>4843.07</v>
      </c>
      <c r="L10" s="1"/>
      <c r="M10" s="1"/>
      <c r="P10" s="1"/>
      <c r="Q10" s="1"/>
    </row>
    <row r="11" spans="1:18" ht="15.5" x14ac:dyDescent="0.25">
      <c r="A11" s="4">
        <v>26</v>
      </c>
      <c r="B11" s="9">
        <v>8364.6</v>
      </c>
      <c r="D11" s="9">
        <v>4372.3500000000004</v>
      </c>
      <c r="K11" s="1">
        <f t="shared" si="0"/>
        <v>6047.5580865337706</v>
      </c>
      <c r="L11" s="1">
        <f>LN(K11)-LN(B11)</f>
        <v>-0.32435394650005378</v>
      </c>
      <c r="M11" s="1">
        <f>LN(K11)-LN(D11)</f>
        <v>0.324353946500052</v>
      </c>
    </row>
    <row r="12" spans="1:18" ht="15.5" x14ac:dyDescent="0.25">
      <c r="A12" s="4">
        <v>32</v>
      </c>
      <c r="B12" s="9">
        <v>1101.18</v>
      </c>
      <c r="D12" s="9">
        <v>3566.63</v>
      </c>
      <c r="K12" s="1">
        <f t="shared" si="0"/>
        <v>1981.7925278393802</v>
      </c>
      <c r="L12" s="1">
        <f>LN(K12)-LN(B12)</f>
        <v>0.58761942012838819</v>
      </c>
      <c r="M12" s="1">
        <f>LN(K12)-LN(D12)</f>
        <v>-0.58761942012838819</v>
      </c>
      <c r="O12" s="1"/>
      <c r="P12" s="1"/>
      <c r="R12" s="1"/>
    </row>
    <row r="13" spans="1:18" ht="15.5" x14ac:dyDescent="0.25">
      <c r="A13" s="4">
        <v>45.5</v>
      </c>
      <c r="D13" s="9">
        <v>3453.68</v>
      </c>
      <c r="K13" s="1">
        <f t="shared" si="0"/>
        <v>3453.68</v>
      </c>
      <c r="L13" s="1"/>
      <c r="M13" s="1"/>
      <c r="O13" s="1"/>
      <c r="P13" s="1"/>
      <c r="R13" s="1"/>
    </row>
    <row r="14" spans="1:18" x14ac:dyDescent="0.25">
      <c r="A14" s="4">
        <v>51</v>
      </c>
      <c r="D14" s="1"/>
      <c r="K14" s="1"/>
      <c r="L14" s="1"/>
      <c r="M14" s="1"/>
      <c r="O14" s="1"/>
      <c r="P14" s="1"/>
      <c r="R14" s="1"/>
    </row>
    <row r="15" spans="1:18" ht="15.5" x14ac:dyDescent="0.25">
      <c r="A15" s="4">
        <v>55.5</v>
      </c>
      <c r="B15" s="9">
        <v>13433.5</v>
      </c>
      <c r="D15" s="9">
        <v>3328.2</v>
      </c>
      <c r="K15" s="1">
        <f t="shared" si="0"/>
        <v>6686.5069131797054</v>
      </c>
      <c r="L15" s="1">
        <f>LN(K15)-LN(B15)</f>
        <v>-0.69765998492417403</v>
      </c>
      <c r="M15" s="1">
        <f>LN(K15)-LN(D15)</f>
        <v>0.69765998492417225</v>
      </c>
      <c r="N15" s="1"/>
      <c r="R15" s="1"/>
    </row>
    <row r="16" spans="1:18" x14ac:dyDescent="0.25">
      <c r="A16" s="4">
        <v>69</v>
      </c>
      <c r="D16" s="1"/>
      <c r="K16" s="1"/>
      <c r="L16" s="1"/>
      <c r="M16" s="1"/>
      <c r="N16" s="1"/>
    </row>
    <row r="17" spans="1:15" ht="15.5" x14ac:dyDescent="0.25">
      <c r="A17" s="4">
        <v>72</v>
      </c>
      <c r="D17" s="1"/>
      <c r="F17" s="9">
        <v>4835.03</v>
      </c>
      <c r="H17" s="9">
        <v>403.81</v>
      </c>
      <c r="K17" s="1">
        <f t="shared" si="0"/>
        <v>1397.2950527000373</v>
      </c>
      <c r="L17" s="1"/>
      <c r="M17" s="1"/>
      <c r="N17" s="1">
        <f>LN(K17)-LN(F17)</f>
        <v>-1.2413490711590063</v>
      </c>
      <c r="O17" s="1">
        <f>LN(K17)-LN(H17)</f>
        <v>1.2413490711590054</v>
      </c>
    </row>
    <row r="18" spans="1:15" ht="15.5" x14ac:dyDescent="0.25">
      <c r="A18" s="4">
        <v>74</v>
      </c>
      <c r="B18" s="9">
        <v>2646.36</v>
      </c>
      <c r="D18" s="9">
        <v>678.59</v>
      </c>
      <c r="K18" s="1">
        <f t="shared" si="0"/>
        <v>1340.0721743249503</v>
      </c>
      <c r="L18" s="1">
        <f>LN(K18)-LN(B18)</f>
        <v>-0.68046163691109385</v>
      </c>
      <c r="M18" s="1">
        <f>LN(K18)-LN(D18)</f>
        <v>0.68046163691109385</v>
      </c>
      <c r="N18" s="1"/>
      <c r="O18" s="1"/>
    </row>
    <row r="19" spans="1:15" x14ac:dyDescent="0.25">
      <c r="A19" s="4">
        <v>96</v>
      </c>
      <c r="F19" s="1"/>
      <c r="K19" s="1"/>
      <c r="L19" s="1"/>
      <c r="M19" s="1"/>
      <c r="N19" s="1"/>
      <c r="O19" s="1"/>
    </row>
    <row r="20" spans="1:15" x14ac:dyDescent="0.25">
      <c r="A20" s="4">
        <v>120</v>
      </c>
      <c r="F20" s="1"/>
      <c r="K20" s="1"/>
      <c r="L20" s="1"/>
      <c r="M20" s="1"/>
      <c r="N20" s="1"/>
      <c r="O20" s="1"/>
    </row>
    <row r="21" spans="1:15" x14ac:dyDescent="0.25">
      <c r="A21">
        <v>144</v>
      </c>
      <c r="F21" s="1"/>
      <c r="H21" s="1"/>
      <c r="K21" s="1"/>
      <c r="L21" s="1"/>
      <c r="M21" s="1"/>
      <c r="N21" s="1"/>
      <c r="O21" s="1"/>
    </row>
    <row r="22" spans="1:15" ht="15.5" x14ac:dyDescent="0.25">
      <c r="A22">
        <v>168</v>
      </c>
      <c r="F22" s="9">
        <v>29342</v>
      </c>
      <c r="H22" s="9">
        <v>3063.03</v>
      </c>
      <c r="K22" s="1">
        <f t="shared" si="0"/>
        <v>9480.2650943947774</v>
      </c>
      <c r="L22" s="1"/>
      <c r="M22" s="1"/>
      <c r="N22" s="1">
        <f>LN(K22)-LN(F22)</f>
        <v>-1.1298076572977429</v>
      </c>
      <c r="O22" s="1">
        <f>LN(K22)-LN(H22)</f>
        <v>1.1298076572977411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034E-7F54-45E6-A5B5-06661ADF418C}">
  <dimension ref="A1:R22"/>
  <sheetViews>
    <sheetView workbookViewId="0">
      <selection activeCell="H1" sqref="H1"/>
    </sheetView>
  </sheetViews>
  <sheetFormatPr defaultRowHeight="12.5" x14ac:dyDescent="0.25"/>
  <cols>
    <col min="13" max="13" width="11.08984375" customWidth="1"/>
    <col min="14" max="14" width="9.7265625" customWidth="1"/>
  </cols>
  <sheetData>
    <row r="1" spans="1:18" x14ac:dyDescent="0.25">
      <c r="A1" t="s">
        <v>0</v>
      </c>
      <c r="B1" t="s">
        <v>12</v>
      </c>
      <c r="D1" t="s">
        <v>13</v>
      </c>
      <c r="F1" t="s">
        <v>14</v>
      </c>
      <c r="H1" t="s">
        <v>15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Q1" t="s">
        <v>5</v>
      </c>
      <c r="R1" t="s">
        <v>11</v>
      </c>
    </row>
    <row r="2" spans="1:18" ht="15.5" x14ac:dyDescent="0.25">
      <c r="A2" s="4">
        <v>0</v>
      </c>
      <c r="B2" s="9">
        <v>3951.8</v>
      </c>
      <c r="D2" s="9">
        <v>3680.4</v>
      </c>
      <c r="F2" s="1"/>
      <c r="H2" s="1"/>
      <c r="K2" s="1">
        <f>GEOMEAN(B2,D2,F2,H2)</f>
        <v>3813.6864999629952</v>
      </c>
      <c r="L2" s="1">
        <f>LN(K2)-LN(B2)</f>
        <v>-3.5574864695755437E-2</v>
      </c>
      <c r="M2" s="1">
        <f>LN(K2)-LN(D2)</f>
        <v>3.5574864695755437E-2</v>
      </c>
      <c r="N2" s="1"/>
      <c r="O2" s="1"/>
      <c r="Q2" s="1">
        <f>AVERAGE(L2:O22)</f>
        <v>-2.2204460492503131E-16</v>
      </c>
      <c r="R2">
        <f>_xlfn.STDEV.P(L2:O22)</f>
        <v>0.48841414998260807</v>
      </c>
    </row>
    <row r="3" spans="1:18" ht="15.5" x14ac:dyDescent="0.25">
      <c r="A3" s="4">
        <v>1</v>
      </c>
      <c r="B3" s="9">
        <v>694.30000000000007</v>
      </c>
      <c r="D3" s="9">
        <v>2644.3</v>
      </c>
      <c r="F3" s="1"/>
      <c r="H3" s="1"/>
      <c r="K3" s="1">
        <f t="shared" ref="K3:K22" si="0">GEOMEAN(B3,D3,F3,H3)</f>
        <v>1354.9677081023001</v>
      </c>
      <c r="L3" s="1">
        <f>LN(K3)-LN(B3)</f>
        <v>0.66862875761177598</v>
      </c>
      <c r="M3" s="1">
        <f>LN(K3)-LN(D3)</f>
        <v>-0.66862875761177598</v>
      </c>
      <c r="N3" s="1"/>
      <c r="O3" s="1"/>
    </row>
    <row r="4" spans="1:18" x14ac:dyDescent="0.25">
      <c r="A4" s="4">
        <v>2.5</v>
      </c>
      <c r="B4" s="1"/>
      <c r="D4" s="1"/>
      <c r="K4" s="1"/>
      <c r="L4" s="1"/>
      <c r="M4" s="1"/>
      <c r="N4" s="1"/>
      <c r="O4" s="1"/>
      <c r="P4" s="1"/>
    </row>
    <row r="5" spans="1:18" ht="15.5" x14ac:dyDescent="0.25">
      <c r="A5" s="4">
        <v>5</v>
      </c>
      <c r="D5" s="9">
        <v>4.2</v>
      </c>
      <c r="K5" s="1">
        <f t="shared" si="0"/>
        <v>4.2</v>
      </c>
      <c r="L5" s="1"/>
      <c r="M5" s="1"/>
      <c r="N5" s="1"/>
      <c r="O5" s="1"/>
    </row>
    <row r="6" spans="1:18" x14ac:dyDescent="0.25">
      <c r="A6" s="4">
        <v>6.5</v>
      </c>
      <c r="B6" s="1"/>
      <c r="D6" s="1"/>
      <c r="K6" s="1"/>
      <c r="L6" s="1"/>
      <c r="M6" s="1"/>
      <c r="N6" s="1"/>
      <c r="O6" s="1"/>
    </row>
    <row r="7" spans="1:18" ht="15.5" x14ac:dyDescent="0.25">
      <c r="A7" s="4">
        <v>9.5</v>
      </c>
      <c r="B7" s="9">
        <v>1012.9000000000001</v>
      </c>
      <c r="D7" s="1"/>
      <c r="K7" s="1">
        <f t="shared" si="0"/>
        <v>1012.9000000000001</v>
      </c>
      <c r="L7" s="1"/>
      <c r="M7" s="1"/>
      <c r="P7" s="1"/>
      <c r="Q7" s="1"/>
    </row>
    <row r="8" spans="1:18" ht="15.5" x14ac:dyDescent="0.25">
      <c r="A8" s="4">
        <v>12</v>
      </c>
      <c r="B8" s="9">
        <v>13480.699999999999</v>
      </c>
      <c r="D8" s="1"/>
      <c r="K8" s="1">
        <f t="shared" si="0"/>
        <v>13480.699999999999</v>
      </c>
      <c r="L8" s="1"/>
      <c r="M8" s="1"/>
      <c r="P8" s="1"/>
      <c r="Q8" s="1"/>
    </row>
    <row r="9" spans="1:18" ht="15.5" x14ac:dyDescent="0.25">
      <c r="A9" s="4">
        <v>14</v>
      </c>
      <c r="B9" s="9">
        <v>6903.8</v>
      </c>
      <c r="D9" s="1"/>
      <c r="K9" s="1">
        <f t="shared" si="0"/>
        <v>6903.8</v>
      </c>
      <c r="L9" s="1"/>
      <c r="M9" s="1"/>
      <c r="P9" s="1"/>
      <c r="Q9" s="1"/>
    </row>
    <row r="10" spans="1:18" ht="15.5" x14ac:dyDescent="0.25">
      <c r="A10" s="4">
        <v>22</v>
      </c>
      <c r="D10" s="9">
        <v>5210.2999999999993</v>
      </c>
      <c r="K10" s="1">
        <f t="shared" si="0"/>
        <v>5210.2999999999993</v>
      </c>
      <c r="L10" s="1"/>
      <c r="M10" s="1"/>
      <c r="P10" s="1"/>
      <c r="Q10" s="1"/>
    </row>
    <row r="11" spans="1:18" ht="15.5" x14ac:dyDescent="0.25">
      <c r="A11" s="4">
        <v>26</v>
      </c>
      <c r="B11" s="9">
        <v>26671.599999999999</v>
      </c>
      <c r="D11" s="9">
        <v>6390.5999999999995</v>
      </c>
      <c r="K11" s="1">
        <f t="shared" si="0"/>
        <v>13055.555406033094</v>
      </c>
      <c r="L11" s="1">
        <f>LN(K11)-LN(B11)</f>
        <v>-0.71438558410017272</v>
      </c>
      <c r="M11" s="1">
        <f>LN(K11)-LN(D11)</f>
        <v>0.71438558410017095</v>
      </c>
    </row>
    <row r="12" spans="1:18" ht="15.5" x14ac:dyDescent="0.25">
      <c r="A12" s="4">
        <v>32</v>
      </c>
      <c r="B12" s="9">
        <v>31026</v>
      </c>
      <c r="D12" s="9">
        <v>31555.9</v>
      </c>
      <c r="K12" s="1">
        <f t="shared" si="0"/>
        <v>31289.828273737781</v>
      </c>
      <c r="L12" s="1">
        <f>LN(K12)-LN(B12)</f>
        <v>8.4675068081168092E-3</v>
      </c>
      <c r="M12" s="1">
        <f>LN(K12)-LN(D12)</f>
        <v>-8.4675068081150329E-3</v>
      </c>
      <c r="O12" s="1"/>
      <c r="P12" s="1"/>
      <c r="R12" s="1"/>
    </row>
    <row r="13" spans="1:18" ht="15.5" x14ac:dyDescent="0.25">
      <c r="A13" s="4">
        <v>45.5</v>
      </c>
      <c r="D13" s="9">
        <v>620.20000000000005</v>
      </c>
      <c r="K13" s="1">
        <f t="shared" si="0"/>
        <v>620.20000000000005</v>
      </c>
      <c r="L13" s="1"/>
      <c r="M13" s="1"/>
      <c r="O13" s="1"/>
      <c r="P13" s="1"/>
      <c r="R13" s="1"/>
    </row>
    <row r="14" spans="1:18" x14ac:dyDescent="0.25">
      <c r="A14" s="4">
        <v>51</v>
      </c>
      <c r="D14" s="1"/>
      <c r="K14" s="1"/>
      <c r="L14" s="1"/>
      <c r="M14" s="1"/>
      <c r="O14" s="1"/>
      <c r="P14" s="1"/>
      <c r="R14" s="1"/>
    </row>
    <row r="15" spans="1:18" ht="15.5" x14ac:dyDescent="0.25">
      <c r="A15" s="4">
        <v>55.5</v>
      </c>
      <c r="B15" s="9">
        <v>9220.4</v>
      </c>
      <c r="D15" s="9">
        <v>4060.7</v>
      </c>
      <c r="K15" s="1">
        <f t="shared" si="0"/>
        <v>6118.927870141958</v>
      </c>
      <c r="L15" s="1">
        <f>LN(K15)-LN(B15)</f>
        <v>-0.41003152401509624</v>
      </c>
      <c r="M15" s="1">
        <f>LN(K15)-LN(D15)</f>
        <v>0.41003152401509446</v>
      </c>
      <c r="N15" s="1"/>
      <c r="R15" s="1"/>
    </row>
    <row r="16" spans="1:18" x14ac:dyDescent="0.25">
      <c r="A16" s="4">
        <v>69</v>
      </c>
      <c r="D16" s="1"/>
      <c r="K16" s="1"/>
      <c r="L16" s="1"/>
      <c r="M16" s="1"/>
      <c r="N16" s="1"/>
    </row>
    <row r="17" spans="1:15" ht="15.5" x14ac:dyDescent="0.25">
      <c r="A17" s="4">
        <v>72</v>
      </c>
      <c r="D17" s="1"/>
      <c r="F17" s="9">
        <v>3145.1</v>
      </c>
      <c r="H17" s="9">
        <v>15791.7</v>
      </c>
      <c r="K17" s="1">
        <f t="shared" si="0"/>
        <v>7047.4446198604501</v>
      </c>
      <c r="L17" s="1"/>
      <c r="M17" s="1"/>
      <c r="N17" s="1">
        <f>LN(K17)-LN(F17)</f>
        <v>0.80681939970045136</v>
      </c>
      <c r="O17" s="1">
        <f>LN(K17)-LN(H17)</f>
        <v>-0.80681939970045136</v>
      </c>
    </row>
    <row r="18" spans="1:15" ht="15.5" x14ac:dyDescent="0.25">
      <c r="A18" s="4">
        <v>74</v>
      </c>
      <c r="B18" s="9">
        <v>17541.199999999997</v>
      </c>
      <c r="D18" s="9">
        <v>13026</v>
      </c>
      <c r="K18" s="1">
        <f t="shared" si="0"/>
        <v>15115.940963102494</v>
      </c>
      <c r="L18" s="1">
        <f>LN(K18)-LN(B18)</f>
        <v>-0.14880251976546788</v>
      </c>
      <c r="M18" s="1">
        <f>LN(K18)-LN(D18)</f>
        <v>0.14880251976546788</v>
      </c>
      <c r="N18" s="1"/>
      <c r="O18" s="1"/>
    </row>
    <row r="19" spans="1:15" x14ac:dyDescent="0.25">
      <c r="A19" s="4">
        <v>96</v>
      </c>
      <c r="F19" s="1"/>
      <c r="K19" s="1"/>
      <c r="L19" s="1"/>
      <c r="M19" s="1"/>
      <c r="N19" s="1"/>
      <c r="O19" s="1"/>
    </row>
    <row r="20" spans="1:15" x14ac:dyDescent="0.25">
      <c r="A20" s="4">
        <v>120</v>
      </c>
      <c r="F20" s="1"/>
      <c r="K20" s="1"/>
      <c r="L20" s="1"/>
      <c r="M20" s="1"/>
      <c r="N20" s="1"/>
      <c r="O20" s="1"/>
    </row>
    <row r="21" spans="1:15" x14ac:dyDescent="0.25">
      <c r="A21">
        <v>144</v>
      </c>
      <c r="F21" s="1"/>
      <c r="H21" s="1"/>
      <c r="K21" s="1"/>
      <c r="L21" s="1"/>
      <c r="M21" s="1"/>
      <c r="N21" s="1"/>
      <c r="O21" s="1"/>
    </row>
    <row r="22" spans="1:15" ht="15.5" x14ac:dyDescent="0.25">
      <c r="A22">
        <v>168</v>
      </c>
      <c r="F22" s="9">
        <v>19447.900000000001</v>
      </c>
      <c r="H22" s="9">
        <v>37572.1</v>
      </c>
      <c r="K22" s="1">
        <f t="shared" si="0"/>
        <v>27031.434360573618</v>
      </c>
      <c r="L22" s="1"/>
      <c r="M22" s="1"/>
      <c r="N22" s="1">
        <f>LN(K22)-LN(F22)</f>
        <v>0.32926132930075447</v>
      </c>
      <c r="O22" s="1">
        <f>LN(K22)-LN(H22)</f>
        <v>-0.32926132930075624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D1C4-7508-4D43-8E49-57A1127D40F3}">
  <dimension ref="A1:H7"/>
  <sheetViews>
    <sheetView workbookViewId="0">
      <selection activeCell="I1" sqref="I1:I7"/>
    </sheetView>
  </sheetViews>
  <sheetFormatPr defaultRowHeight="12.5" x14ac:dyDescent="0.25"/>
  <sheetData>
    <row r="1" spans="1:8" ht="15.5" x14ac:dyDescent="0.25">
      <c r="A1" t="s">
        <v>0</v>
      </c>
      <c r="B1" s="3">
        <v>0.1</v>
      </c>
      <c r="C1" s="3">
        <v>0.01</v>
      </c>
      <c r="D1" s="3">
        <v>1E-3</v>
      </c>
      <c r="E1" s="3">
        <v>1E-4</v>
      </c>
      <c r="F1" s="3">
        <v>1.0000000000000001E-5</v>
      </c>
      <c r="G1" s="3">
        <v>9.9999999999999995E-7</v>
      </c>
      <c r="H1" t="s">
        <v>4</v>
      </c>
    </row>
    <row r="2" spans="1:8" ht="15.5" x14ac:dyDescent="0.35">
      <c r="A2">
        <v>0</v>
      </c>
      <c r="B2" s="5">
        <v>6</v>
      </c>
      <c r="C2" s="5">
        <v>6</v>
      </c>
      <c r="D2" s="6">
        <v>5</v>
      </c>
      <c r="E2" s="5">
        <v>3</v>
      </c>
      <c r="F2" s="5">
        <v>2</v>
      </c>
      <c r="G2" s="5">
        <v>0</v>
      </c>
      <c r="H2" s="5">
        <v>0.75</v>
      </c>
    </row>
    <row r="3" spans="1:8" x14ac:dyDescent="0.25">
      <c r="A3">
        <v>24</v>
      </c>
      <c r="B3" s="5">
        <v>6</v>
      </c>
      <c r="C3" s="5">
        <v>6</v>
      </c>
      <c r="D3" s="5">
        <v>6</v>
      </c>
      <c r="E3" s="5">
        <v>3</v>
      </c>
      <c r="F3" s="5">
        <v>0</v>
      </c>
      <c r="G3" s="5">
        <v>0</v>
      </c>
      <c r="H3" s="5">
        <v>0.79</v>
      </c>
    </row>
    <row r="4" spans="1:8" x14ac:dyDescent="0.25">
      <c r="A4">
        <v>48</v>
      </c>
      <c r="B4" s="5">
        <v>6</v>
      </c>
      <c r="C4" s="5">
        <v>6</v>
      </c>
      <c r="D4" s="5">
        <v>5</v>
      </c>
      <c r="E4" s="5">
        <v>2</v>
      </c>
      <c r="F4" s="5">
        <v>0</v>
      </c>
      <c r="G4" s="5">
        <v>0</v>
      </c>
      <c r="H4" s="5">
        <v>0.77</v>
      </c>
    </row>
    <row r="5" spans="1:8" x14ac:dyDescent="0.25">
      <c r="A5">
        <v>72</v>
      </c>
      <c r="B5" s="5">
        <v>6</v>
      </c>
      <c r="C5" s="5">
        <v>6</v>
      </c>
      <c r="D5" s="5">
        <v>2</v>
      </c>
      <c r="E5" s="5">
        <v>0</v>
      </c>
      <c r="F5" s="5">
        <v>0</v>
      </c>
      <c r="G5" s="5">
        <v>0</v>
      </c>
      <c r="H5" s="5">
        <v>0.75</v>
      </c>
    </row>
    <row r="6" spans="1:8" x14ac:dyDescent="0.25">
      <c r="A6">
        <v>96</v>
      </c>
      <c r="B6" s="5">
        <v>6</v>
      </c>
      <c r="C6" s="5">
        <v>5</v>
      </c>
      <c r="D6" s="5">
        <v>2</v>
      </c>
      <c r="E6" s="5">
        <v>0</v>
      </c>
      <c r="F6" s="5">
        <v>0</v>
      </c>
      <c r="G6" s="5">
        <v>0</v>
      </c>
      <c r="H6" s="5">
        <v>0.75</v>
      </c>
    </row>
    <row r="7" spans="1:8" x14ac:dyDescent="0.25">
      <c r="A7">
        <v>120</v>
      </c>
      <c r="B7" s="5">
        <v>5</v>
      </c>
      <c r="C7" s="5">
        <v>2</v>
      </c>
      <c r="D7" s="5">
        <v>0</v>
      </c>
      <c r="E7" s="5">
        <v>0</v>
      </c>
      <c r="F7" s="5">
        <v>0</v>
      </c>
      <c r="G7" s="5">
        <v>0</v>
      </c>
      <c r="H7" s="5">
        <v>0.72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AB50-49A1-484D-AC5D-82029B16F2E8}">
  <dimension ref="A1:H7"/>
  <sheetViews>
    <sheetView workbookViewId="0">
      <selection activeCell="H21" sqref="H21"/>
    </sheetView>
  </sheetViews>
  <sheetFormatPr defaultRowHeight="12.5" x14ac:dyDescent="0.25"/>
  <sheetData>
    <row r="1" spans="1:8" ht="15.5" x14ac:dyDescent="0.25">
      <c r="A1" t="s">
        <v>0</v>
      </c>
      <c r="B1" s="3">
        <v>0.1</v>
      </c>
      <c r="C1" s="3">
        <v>0.01</v>
      </c>
      <c r="D1" s="3">
        <v>1E-3</v>
      </c>
      <c r="E1" s="3">
        <v>1E-4</v>
      </c>
      <c r="F1" s="3">
        <v>1.0000000000000001E-5</v>
      </c>
      <c r="G1" s="3">
        <v>9.9999999999999995E-7</v>
      </c>
      <c r="H1" t="s">
        <v>4</v>
      </c>
    </row>
    <row r="2" spans="1:8" ht="15.5" x14ac:dyDescent="0.35">
      <c r="A2">
        <v>0</v>
      </c>
      <c r="B2" s="5">
        <v>6</v>
      </c>
      <c r="C2" s="5">
        <v>6</v>
      </c>
      <c r="D2" s="5">
        <v>6</v>
      </c>
      <c r="E2" s="5">
        <v>4</v>
      </c>
      <c r="F2" s="6">
        <v>2</v>
      </c>
      <c r="G2" s="5">
        <v>0</v>
      </c>
      <c r="H2" s="5">
        <v>0.7</v>
      </c>
    </row>
    <row r="3" spans="1:8" x14ac:dyDescent="0.25">
      <c r="A3">
        <v>24</v>
      </c>
      <c r="B3" s="5">
        <v>6</v>
      </c>
      <c r="C3" s="5">
        <v>6</v>
      </c>
      <c r="D3" s="5">
        <v>5</v>
      </c>
      <c r="E3" s="5">
        <v>2</v>
      </c>
      <c r="F3" s="5">
        <v>0</v>
      </c>
      <c r="G3" s="5">
        <v>0</v>
      </c>
      <c r="H3" s="5">
        <v>0.77</v>
      </c>
    </row>
    <row r="4" spans="1:8" x14ac:dyDescent="0.25">
      <c r="A4">
        <v>48</v>
      </c>
      <c r="B4" s="5">
        <v>6</v>
      </c>
      <c r="C4" s="5">
        <v>6</v>
      </c>
      <c r="D4" s="5">
        <v>4</v>
      </c>
      <c r="E4" s="5">
        <v>2</v>
      </c>
      <c r="F4" s="5">
        <v>0</v>
      </c>
      <c r="G4" s="5">
        <v>0</v>
      </c>
      <c r="H4" s="5">
        <v>0.74</v>
      </c>
    </row>
    <row r="5" spans="1:8" ht="15.5" x14ac:dyDescent="0.35">
      <c r="A5">
        <v>72</v>
      </c>
      <c r="B5" s="5">
        <v>6</v>
      </c>
      <c r="C5" s="5">
        <v>6</v>
      </c>
      <c r="D5" s="5">
        <v>0</v>
      </c>
      <c r="E5" s="6">
        <v>1</v>
      </c>
      <c r="F5" s="5">
        <v>0</v>
      </c>
      <c r="G5" s="5">
        <v>0</v>
      </c>
      <c r="H5" s="5">
        <v>0.74</v>
      </c>
    </row>
    <row r="6" spans="1:8" x14ac:dyDescent="0.25">
      <c r="A6">
        <v>96</v>
      </c>
      <c r="B6" s="5">
        <v>6</v>
      </c>
      <c r="C6" s="5">
        <v>6</v>
      </c>
      <c r="D6" s="5">
        <v>1</v>
      </c>
      <c r="E6" s="5">
        <v>0</v>
      </c>
      <c r="F6" s="5">
        <v>0</v>
      </c>
      <c r="G6" s="5">
        <v>0</v>
      </c>
      <c r="H6" s="5">
        <v>0.74</v>
      </c>
    </row>
    <row r="7" spans="1:8" ht="15.5" x14ac:dyDescent="0.35">
      <c r="A7">
        <v>120</v>
      </c>
      <c r="B7" s="5">
        <v>3</v>
      </c>
      <c r="C7" s="6">
        <v>0</v>
      </c>
      <c r="D7" s="5">
        <v>0</v>
      </c>
      <c r="E7" s="5">
        <v>0</v>
      </c>
      <c r="F7" s="5">
        <v>0</v>
      </c>
      <c r="G7" s="5">
        <v>0</v>
      </c>
      <c r="H7" s="5">
        <v>0.69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2106-61C2-4077-B535-7AF8CE9AA3D0}">
  <dimension ref="A1:H7"/>
  <sheetViews>
    <sheetView tabSelected="1" workbookViewId="0">
      <selection activeCell="N39" sqref="N39"/>
    </sheetView>
  </sheetViews>
  <sheetFormatPr defaultRowHeight="12.5" x14ac:dyDescent="0.25"/>
  <sheetData>
    <row r="1" spans="1:8" ht="15.5" x14ac:dyDescent="0.25">
      <c r="A1" t="s">
        <v>0</v>
      </c>
      <c r="B1" s="3">
        <v>0.1</v>
      </c>
      <c r="C1" s="3">
        <v>0.01</v>
      </c>
      <c r="D1" s="3">
        <v>1E-3</v>
      </c>
      <c r="E1" s="3">
        <v>1E-4</v>
      </c>
      <c r="F1" s="3">
        <v>1.0000000000000001E-5</v>
      </c>
      <c r="G1" s="3">
        <v>9.9999999999999995E-7</v>
      </c>
      <c r="H1" t="s">
        <v>4</v>
      </c>
    </row>
    <row r="2" spans="1:8" x14ac:dyDescent="0.25">
      <c r="A2">
        <v>0</v>
      </c>
      <c r="B2" s="5">
        <v>6</v>
      </c>
      <c r="C2" s="5">
        <v>6</v>
      </c>
      <c r="D2" s="5">
        <v>6</v>
      </c>
      <c r="E2" s="5">
        <v>5</v>
      </c>
      <c r="F2" s="5">
        <v>2</v>
      </c>
      <c r="G2" s="5">
        <v>0</v>
      </c>
      <c r="H2" s="5">
        <v>0.79</v>
      </c>
    </row>
    <row r="3" spans="1:8" x14ac:dyDescent="0.25">
      <c r="A3">
        <v>24</v>
      </c>
      <c r="B3" s="5">
        <v>6</v>
      </c>
      <c r="C3" s="5">
        <v>6</v>
      </c>
      <c r="D3" s="5">
        <v>6</v>
      </c>
      <c r="E3" s="5">
        <v>1</v>
      </c>
      <c r="F3" s="5">
        <v>1</v>
      </c>
      <c r="G3" s="5">
        <v>1</v>
      </c>
      <c r="H3" s="5">
        <v>0.73</v>
      </c>
    </row>
    <row r="4" spans="1:8" x14ac:dyDescent="0.25">
      <c r="A4">
        <v>48</v>
      </c>
      <c r="B4" s="5">
        <v>6</v>
      </c>
      <c r="C4" s="5">
        <v>6</v>
      </c>
      <c r="D4" s="5">
        <v>5</v>
      </c>
      <c r="E4" s="5">
        <v>0</v>
      </c>
      <c r="F4" s="5">
        <v>0</v>
      </c>
      <c r="G4" s="5">
        <v>0</v>
      </c>
      <c r="H4" s="5">
        <v>0.76</v>
      </c>
    </row>
    <row r="5" spans="1:8" x14ac:dyDescent="0.25">
      <c r="A5">
        <v>72</v>
      </c>
      <c r="B5" s="5">
        <v>6</v>
      </c>
      <c r="C5" s="5">
        <v>6</v>
      </c>
      <c r="D5" s="5">
        <v>3</v>
      </c>
      <c r="E5" s="5">
        <v>0</v>
      </c>
      <c r="F5" s="5">
        <v>0</v>
      </c>
      <c r="G5" s="5">
        <v>0</v>
      </c>
      <c r="H5" s="5">
        <v>0.72</v>
      </c>
    </row>
    <row r="6" spans="1:8" x14ac:dyDescent="0.25">
      <c r="A6">
        <v>96</v>
      </c>
      <c r="B6" s="5">
        <v>6</v>
      </c>
      <c r="C6" s="5">
        <v>5</v>
      </c>
      <c r="D6" s="5">
        <v>2</v>
      </c>
      <c r="E6" s="5">
        <v>0</v>
      </c>
      <c r="F6" s="5">
        <v>0</v>
      </c>
      <c r="G6" s="5">
        <v>0</v>
      </c>
      <c r="H6" s="5">
        <v>0.68</v>
      </c>
    </row>
    <row r="7" spans="1:8" x14ac:dyDescent="0.25">
      <c r="A7">
        <v>120</v>
      </c>
      <c r="B7" s="5">
        <v>5</v>
      </c>
      <c r="C7" s="5">
        <v>4</v>
      </c>
      <c r="D7" s="5">
        <v>1</v>
      </c>
      <c r="E7" s="5">
        <v>0</v>
      </c>
      <c r="F7" s="5">
        <v>0</v>
      </c>
      <c r="G7" s="5">
        <v>0</v>
      </c>
      <c r="H7" s="5">
        <v>0.66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96b3bb-cdf3-4209-96f2-6584f72899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83153969EF6C4FB6930E47EC9B1D56" ma:contentTypeVersion="16" ma:contentTypeDescription="Create a new document." ma:contentTypeScope="" ma:versionID="a38487c6eb3f379a619feff187dd0538">
  <xsd:schema xmlns:xsd="http://www.w3.org/2001/XMLSchema" xmlns:xs="http://www.w3.org/2001/XMLSchema" xmlns:p="http://schemas.microsoft.com/office/2006/metadata/properties" xmlns:ns3="4996b3bb-cdf3-4209-96f2-6584f7289973" xmlns:ns4="2c4fc79f-b1cc-4575-8e4c-f462aaf5a71a" targetNamespace="http://schemas.microsoft.com/office/2006/metadata/properties" ma:root="true" ma:fieldsID="8c3abcbd6aae4cd2c23bec81efeccfaf" ns3:_="" ns4:_="">
    <xsd:import namespace="4996b3bb-cdf3-4209-96f2-6584f7289973"/>
    <xsd:import namespace="2c4fc79f-b1cc-4575-8e4c-f462aaf5a7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6b3bb-cdf3-4209-96f2-6584f72899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fc79f-b1cc-4575-8e4c-f462aaf5a71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693605-073E-4C4F-B1B5-3740CE77AA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72A476-E634-41C0-8024-258AC9366C9D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2c4fc79f-b1cc-4575-8e4c-f462aaf5a71a"/>
    <ds:schemaRef ds:uri="http://schemas.microsoft.com/office/2006/documentManagement/types"/>
    <ds:schemaRef ds:uri="4996b3bb-cdf3-4209-96f2-6584f728997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BAA70D8-C4DF-4ECE-9CB4-9DC1306CEE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6b3bb-cdf3-4209-96f2-6584f7289973"/>
    <ds:schemaRef ds:uri="2c4fc79f-b1cc-4575-8e4c-f462aaf5a7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low MOI R1</vt:lpstr>
      <vt:lpstr>low MOI R2</vt:lpstr>
      <vt:lpstr>low MOI R3</vt:lpstr>
      <vt:lpstr>low MOI R4</vt:lpstr>
      <vt:lpstr>high MOI R1</vt:lpstr>
      <vt:lpstr>high MOI R2</vt:lpstr>
      <vt:lpstr>high MOI R3</vt:lpstr>
      <vt:lpstr>high MOI R4</vt:lpstr>
      <vt:lpstr>low MOI cell number</vt:lpstr>
      <vt:lpstr>high MOI cell number</vt:lpstr>
      <vt:lpstr>RNA S</vt:lpstr>
      <vt:lpstr>RNA M</vt:lpstr>
      <vt:lpstr>RNA L</vt:lpstr>
      <vt:lpstr>decay R1</vt:lpstr>
      <vt:lpstr>decay R2</vt:lpstr>
      <vt:lpstr>decay R3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Bevelynn Williams</dc:creator>
  <cp:lastModifiedBy>Bevelynn Whaler</cp:lastModifiedBy>
  <dcterms:created xsi:type="dcterms:W3CDTF">2023-11-06T07:28:49Z</dcterms:created>
  <dcterms:modified xsi:type="dcterms:W3CDTF">2026-05-27T15:21:40Z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0x010100DF83153969EF6C4FB6930E47EC9B1D56</vt:lpwstr>
  </property>
</Properties>
</file>