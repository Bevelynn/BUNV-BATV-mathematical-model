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mtbwi\Desktop\BUNV BATV manuscript plots\"/>
    </mc:Choice>
  </mc:AlternateContent>
  <xr:revisionPtr revIDLastSave="0" documentId="13_ncr:1_{915B9B93-EC3C-47B3-87FD-25FF6824E6C5}" xr6:coauthVersionLast="47" xr6:coauthVersionMax="47" xr10:uidLastSave="{00000000-0000-0000-0000-000000000000}"/>
  <bookViews>
    <workbookView xWindow="-120" yWindow="-16320" windowWidth="29040" windowHeight="15720" firstSheet="5" activeTab="13" xr2:uid="{00000000-000D-0000-FFFF-FFFF00000000}"/>
  </bookViews>
  <sheets>
    <sheet name="low MOI R1" sheetId="2" r:id="rId1"/>
    <sheet name="low MOI R2" sheetId="3" r:id="rId2"/>
    <sheet name="low MOI R3" sheetId="16" r:id="rId3"/>
    <sheet name="low MOI R4" sheetId="17" r:id="rId4"/>
    <sheet name="low MOI R5" sheetId="14" r:id="rId5"/>
    <sheet name="high MOI R1" sheetId="1" r:id="rId6"/>
    <sheet name="high MOI R2" sheetId="4" r:id="rId7"/>
    <sheet name="high MOI R3" sheetId="18" r:id="rId8"/>
    <sheet name="high MOI R4" sheetId="19" r:id="rId9"/>
    <sheet name="high MOI R5" sheetId="15" r:id="rId10"/>
    <sheet name="cell number" sheetId="10" r:id="rId11"/>
    <sheet name="decay R1" sheetId="11" r:id="rId12"/>
    <sheet name="decay R2" sheetId="12" r:id="rId13"/>
    <sheet name="decay R3" sheetId="13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10" l="1"/>
  <c r="X10" i="10" s="1"/>
  <c r="S9" i="10"/>
  <c r="W9" i="10" s="1"/>
  <c r="S8" i="10"/>
  <c r="W8" i="10" s="1"/>
  <c r="S7" i="10"/>
  <c r="W7" i="10" s="1"/>
  <c r="S6" i="10"/>
  <c r="U6" i="10" s="1"/>
  <c r="S5" i="10"/>
  <c r="T5" i="10" s="1"/>
  <c r="S4" i="10"/>
  <c r="U4" i="10" s="1"/>
  <c r="S3" i="10"/>
  <c r="T3" i="10" s="1"/>
  <c r="S2" i="10"/>
  <c r="X2" i="10" s="1"/>
  <c r="M3" i="10"/>
  <c r="O3" i="10" s="1"/>
  <c r="M4" i="10"/>
  <c r="O4" i="10" s="1"/>
  <c r="M5" i="10"/>
  <c r="O5" i="10" s="1"/>
  <c r="M6" i="10"/>
  <c r="O6" i="10" s="1"/>
  <c r="M7" i="10"/>
  <c r="P7" i="10" s="1"/>
  <c r="M8" i="10"/>
  <c r="P8" i="10" s="1"/>
  <c r="M9" i="10"/>
  <c r="P9" i="10" s="1"/>
  <c r="M10" i="10"/>
  <c r="P10" i="10" s="1"/>
  <c r="M2" i="10"/>
  <c r="R2" i="10" s="1"/>
  <c r="V10" i="10" l="1"/>
  <c r="W10" i="10"/>
  <c r="U3" i="10"/>
  <c r="V3" i="10"/>
  <c r="W3" i="10"/>
  <c r="X3" i="10"/>
  <c r="U5" i="10"/>
  <c r="P3" i="10"/>
  <c r="T4" i="10"/>
  <c r="T6" i="10"/>
  <c r="V7" i="10"/>
  <c r="T2" i="10"/>
  <c r="U2" i="10"/>
  <c r="V2" i="10"/>
  <c r="V8" i="10"/>
  <c r="W2" i="10"/>
  <c r="V9" i="10"/>
  <c r="Q10" i="10"/>
  <c r="Q9" i="10"/>
  <c r="Q8" i="10"/>
  <c r="Q7" i="10"/>
  <c r="N2" i="10"/>
  <c r="Q3" i="10"/>
  <c r="O2" i="10"/>
  <c r="R10" i="10"/>
  <c r="P2" i="10"/>
  <c r="R3" i="10"/>
  <c r="Q2" i="10"/>
  <c r="N6" i="10"/>
  <c r="N5" i="10"/>
  <c r="N4" i="10"/>
  <c r="N3" i="10"/>
  <c r="AB2" i="10" l="1"/>
  <c r="AB1" i="10"/>
  <c r="AA2" i="10"/>
  <c r="AA1" i="10"/>
</calcChain>
</file>

<file path=xl/sharedStrings.xml><?xml version="1.0" encoding="utf-8"?>
<sst xmlns="http://schemas.openxmlformats.org/spreadsheetml/2006/main" count="41" uniqueCount="26">
  <si>
    <t>t</t>
  </si>
  <si>
    <t>volume (ml)</t>
  </si>
  <si>
    <t>mean</t>
  </si>
  <si>
    <t>sigma</t>
  </si>
  <si>
    <t>low MOI R1</t>
  </si>
  <si>
    <t>low MOI R2</t>
  </si>
  <si>
    <t>low MOI R3</t>
  </si>
  <si>
    <t>low MOI R4</t>
  </si>
  <si>
    <t>low MOI R5</t>
  </si>
  <si>
    <t>high MOI R1</t>
  </si>
  <si>
    <t>high MOI R2</t>
  </si>
  <si>
    <t>high MOI R3</t>
  </si>
  <si>
    <t>high MOI R4</t>
  </si>
  <si>
    <t>high MOI R5</t>
  </si>
  <si>
    <t>mean low MOI</t>
  </si>
  <si>
    <t>residuals low MOI R1</t>
  </si>
  <si>
    <t>residuals low MOI R2</t>
  </si>
  <si>
    <t>residuals low MOI R3</t>
  </si>
  <si>
    <t>residuals low MOI R4</t>
  </si>
  <si>
    <t>residuals low MOI R5</t>
  </si>
  <si>
    <t>mean  high MOI</t>
  </si>
  <si>
    <t>residuals high MOI R1</t>
  </si>
  <si>
    <t>residuals high MOI R2</t>
  </si>
  <si>
    <t>residuals high MOI R3</t>
  </si>
  <si>
    <t>residuals high MOI R4</t>
  </si>
  <si>
    <t xml:space="preserve">residuals high MOI R5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</si>
</sst>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1" fontId="0" fillId="0" borderId="0" xfId="0" applyNumberFormat="1"/>
    <xf numFmtId="0" fontId="0" fillId="0" borderId="0" xfId="0" applyBorder="1"/>
    <xf numFmtId="11" fontId="1" fillId="0" borderId="0" xfId="0" applyNumberFormat="1" applyFont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 applyAlignment="1">
      <alignment horizontal="right"/>
    </xf>
    <xf numFmtId="11" fontId="1" fillId="0" borderId="0" xfId="0" applyNumberFormat="1" applyFont="1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11" fontId="0" fillId="0" borderId="0" xfId="0" applyNumberFormat="1" applyBorder="1"/>
    <xf numFmtId="11" fontId="3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workbookViewId="0">
      <selection activeCell="K1" sqref="K1:K6"/>
    </sheetView>
  </sheetViews>
  <sheetFormatPr defaultRowHeight="12.5" x14ac:dyDescent="0.25"/>
  <cols>
    <col min="2" max="2" width="20.26953125" customWidth="1"/>
    <col min="3" max="3" width="11.81640625" customWidth="1"/>
    <col min="4" max="4" width="15.81640625" customWidth="1"/>
    <col min="5" max="5" width="13.81640625" customWidth="1"/>
  </cols>
  <sheetData>
    <row r="1" spans="1:14" ht="15.5" x14ac:dyDescent="0.25">
      <c r="A1" t="s">
        <v>0</v>
      </c>
      <c r="B1" s="3">
        <v>1</v>
      </c>
      <c r="C1" s="3">
        <v>0.1</v>
      </c>
      <c r="D1" s="3">
        <v>0.01</v>
      </c>
      <c r="E1" s="3">
        <v>1E-3</v>
      </c>
      <c r="F1" s="3">
        <v>1E-4</v>
      </c>
      <c r="G1" s="3">
        <v>1.0000000000000001E-5</v>
      </c>
      <c r="H1" s="3">
        <v>9.9999999999999995E-7</v>
      </c>
      <c r="I1" s="3">
        <v>9.9999999999999995E-8</v>
      </c>
      <c r="J1" s="3">
        <v>1E-8</v>
      </c>
      <c r="K1" s="3"/>
    </row>
    <row r="2" spans="1:14" x14ac:dyDescent="0.25">
      <c r="A2" s="9">
        <v>0</v>
      </c>
      <c r="B2">
        <v>6</v>
      </c>
      <c r="C2">
        <v>6</v>
      </c>
      <c r="D2">
        <v>6</v>
      </c>
      <c r="E2">
        <v>6</v>
      </c>
      <c r="F2">
        <v>4</v>
      </c>
      <c r="G2">
        <v>0</v>
      </c>
      <c r="H2">
        <v>0</v>
      </c>
      <c r="I2">
        <v>0</v>
      </c>
      <c r="J2">
        <v>0</v>
      </c>
      <c r="L2" s="4"/>
      <c r="M2" s="4"/>
      <c r="N2" s="4"/>
    </row>
    <row r="3" spans="1:14" x14ac:dyDescent="0.25">
      <c r="A3" s="9">
        <v>1</v>
      </c>
      <c r="B3">
        <v>6</v>
      </c>
      <c r="C3">
        <v>6</v>
      </c>
      <c r="D3">
        <v>6</v>
      </c>
      <c r="E3">
        <v>6</v>
      </c>
      <c r="F3">
        <v>4</v>
      </c>
      <c r="G3">
        <v>0</v>
      </c>
      <c r="H3">
        <v>0</v>
      </c>
      <c r="I3">
        <v>0</v>
      </c>
      <c r="J3">
        <v>0</v>
      </c>
      <c r="L3" s="4"/>
      <c r="M3" s="4"/>
      <c r="N3" s="4"/>
    </row>
    <row r="4" spans="1:14" x14ac:dyDescent="0.25">
      <c r="A4" s="9">
        <v>4</v>
      </c>
      <c r="B4">
        <v>4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L4" s="4"/>
      <c r="M4" s="4"/>
      <c r="N4" s="4"/>
    </row>
    <row r="5" spans="1:14" x14ac:dyDescent="0.25">
      <c r="A5" s="9">
        <v>8</v>
      </c>
      <c r="B5">
        <v>6</v>
      </c>
      <c r="C5">
        <v>6</v>
      </c>
      <c r="D5">
        <v>6</v>
      </c>
      <c r="E5">
        <v>6</v>
      </c>
      <c r="F5">
        <v>6</v>
      </c>
      <c r="G5">
        <v>1</v>
      </c>
      <c r="H5">
        <v>0</v>
      </c>
      <c r="I5">
        <v>0</v>
      </c>
      <c r="J5">
        <v>0</v>
      </c>
      <c r="L5" s="4"/>
      <c r="M5" s="4"/>
      <c r="N5" s="4"/>
    </row>
    <row r="6" spans="1:14" x14ac:dyDescent="0.25">
      <c r="A6" s="9">
        <v>12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3</v>
      </c>
      <c r="I6">
        <v>1</v>
      </c>
      <c r="J6">
        <v>0</v>
      </c>
      <c r="L6" s="4"/>
      <c r="M6" s="4"/>
      <c r="N6" s="4"/>
    </row>
    <row r="7" spans="1:14" x14ac:dyDescent="0.25">
      <c r="A7" s="9">
        <v>18</v>
      </c>
      <c r="L7" s="4"/>
    </row>
    <row r="8" spans="1:14" x14ac:dyDescent="0.25">
      <c r="A8" s="9">
        <v>24</v>
      </c>
      <c r="L8" s="4"/>
    </row>
    <row r="9" spans="1:14" x14ac:dyDescent="0.25">
      <c r="A9" s="9">
        <v>48</v>
      </c>
      <c r="L9" s="4"/>
    </row>
    <row r="10" spans="1:14" x14ac:dyDescent="0.25">
      <c r="A10" s="9">
        <v>72</v>
      </c>
      <c r="L10" s="4"/>
    </row>
    <row r="11" spans="1:14" x14ac:dyDescent="0.25">
      <c r="A11" s="9">
        <v>96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4"/>
    </row>
    <row r="12" spans="1:14" x14ac:dyDescent="0.25">
      <c r="A12" s="9">
        <v>120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4"/>
    </row>
    <row r="13" spans="1:14" x14ac:dyDescent="0.25">
      <c r="A13" s="9">
        <v>144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4"/>
    </row>
    <row r="14" spans="1:14" x14ac:dyDescent="0.25">
      <c r="A14" s="9">
        <v>168</v>
      </c>
    </row>
    <row r="15" spans="1:14" x14ac:dyDescent="0.25">
      <c r="B15" s="1"/>
      <c r="C15" s="1"/>
      <c r="D15" s="1"/>
    </row>
    <row r="16" spans="1:14" x14ac:dyDescent="0.25">
      <c r="B16" s="1"/>
      <c r="C16" s="1"/>
      <c r="D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"/>
  <sheetViews>
    <sheetView workbookViewId="0">
      <selection activeCell="K1" sqref="K1:K6"/>
    </sheetView>
  </sheetViews>
  <sheetFormatPr defaultRowHeight="12.5" x14ac:dyDescent="0.25"/>
  <cols>
    <col min="2" max="2" width="10.26953125" customWidth="1"/>
  </cols>
  <sheetData>
    <row r="1" spans="1:14" ht="15.5" x14ac:dyDescent="0.25">
      <c r="A1" t="s">
        <v>0</v>
      </c>
      <c r="B1" s="3">
        <v>1</v>
      </c>
      <c r="C1" s="3">
        <v>0.1</v>
      </c>
      <c r="D1" s="3">
        <v>0.01</v>
      </c>
      <c r="E1" s="3">
        <v>1E-3</v>
      </c>
      <c r="F1" s="3">
        <v>1E-4</v>
      </c>
      <c r="G1" s="3">
        <v>1.0000000000000001E-5</v>
      </c>
      <c r="H1" s="3">
        <v>9.9999999999999995E-7</v>
      </c>
      <c r="I1" s="3">
        <v>9.9999999999999995E-8</v>
      </c>
      <c r="J1" s="3">
        <v>1E-8</v>
      </c>
      <c r="K1" s="3"/>
    </row>
    <row r="2" spans="1:14" x14ac:dyDescent="0.25">
      <c r="A2" s="9">
        <v>0</v>
      </c>
      <c r="B2">
        <v>6</v>
      </c>
      <c r="C2">
        <v>6</v>
      </c>
      <c r="D2">
        <v>6</v>
      </c>
      <c r="E2">
        <v>6</v>
      </c>
      <c r="F2">
        <v>4</v>
      </c>
      <c r="G2">
        <v>0</v>
      </c>
      <c r="H2">
        <v>0</v>
      </c>
      <c r="I2">
        <v>0</v>
      </c>
      <c r="J2">
        <v>0</v>
      </c>
      <c r="M2" s="4"/>
      <c r="N2" s="4"/>
    </row>
    <row r="3" spans="1:14" x14ac:dyDescent="0.25">
      <c r="A3" s="9">
        <v>1</v>
      </c>
      <c r="B3">
        <v>6</v>
      </c>
      <c r="C3">
        <v>6</v>
      </c>
      <c r="D3">
        <v>6</v>
      </c>
      <c r="E3">
        <v>6</v>
      </c>
      <c r="F3">
        <v>4</v>
      </c>
      <c r="G3">
        <v>0</v>
      </c>
      <c r="H3">
        <v>0</v>
      </c>
      <c r="I3">
        <v>0</v>
      </c>
      <c r="J3">
        <v>0</v>
      </c>
      <c r="M3" s="4"/>
      <c r="N3" s="4"/>
    </row>
    <row r="4" spans="1:14" x14ac:dyDescent="0.25">
      <c r="A4" s="9">
        <v>4</v>
      </c>
      <c r="B4">
        <v>5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M4" s="4"/>
      <c r="N4" s="4"/>
    </row>
    <row r="5" spans="1:14" x14ac:dyDescent="0.25">
      <c r="A5" s="9">
        <v>8</v>
      </c>
      <c r="B5">
        <v>6</v>
      </c>
      <c r="C5">
        <v>6</v>
      </c>
      <c r="D5">
        <v>6</v>
      </c>
      <c r="E5">
        <v>6</v>
      </c>
      <c r="F5">
        <v>3</v>
      </c>
      <c r="G5">
        <v>1</v>
      </c>
      <c r="H5">
        <v>0</v>
      </c>
      <c r="I5">
        <v>0</v>
      </c>
      <c r="J5">
        <v>0</v>
      </c>
      <c r="M5" s="4"/>
      <c r="N5" s="4"/>
    </row>
    <row r="6" spans="1:14" x14ac:dyDescent="0.25">
      <c r="A6" s="9">
        <v>12</v>
      </c>
      <c r="B6">
        <v>6</v>
      </c>
      <c r="C6">
        <v>6</v>
      </c>
      <c r="D6">
        <v>6</v>
      </c>
      <c r="E6">
        <v>6</v>
      </c>
      <c r="F6">
        <v>6</v>
      </c>
      <c r="G6">
        <v>5</v>
      </c>
      <c r="H6">
        <v>3</v>
      </c>
      <c r="I6">
        <v>0</v>
      </c>
      <c r="J6">
        <v>0</v>
      </c>
      <c r="M6" s="4"/>
      <c r="N6" s="4"/>
    </row>
    <row r="7" spans="1:14" x14ac:dyDescent="0.25">
      <c r="A7" s="9">
        <v>18</v>
      </c>
      <c r="L7" s="4"/>
    </row>
    <row r="8" spans="1:14" x14ac:dyDescent="0.25">
      <c r="A8" s="9">
        <v>24</v>
      </c>
      <c r="L8" s="4"/>
    </row>
    <row r="9" spans="1:14" x14ac:dyDescent="0.25">
      <c r="A9" s="9">
        <v>48</v>
      </c>
      <c r="L9" s="4"/>
    </row>
    <row r="10" spans="1:14" x14ac:dyDescent="0.25">
      <c r="A10" s="9">
        <v>72</v>
      </c>
      <c r="L10" s="4"/>
    </row>
    <row r="11" spans="1:14" x14ac:dyDescent="0.25">
      <c r="A11" s="9">
        <v>96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4"/>
    </row>
    <row r="12" spans="1:14" x14ac:dyDescent="0.25">
      <c r="A12" s="9">
        <v>120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4"/>
    </row>
    <row r="13" spans="1:14" x14ac:dyDescent="0.25">
      <c r="A13" s="9">
        <v>144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4"/>
    </row>
    <row r="14" spans="1:14" x14ac:dyDescent="0.25">
      <c r="A14" s="9">
        <v>168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4"/>
    </row>
    <row r="15" spans="1:14" x14ac:dyDescent="0.25">
      <c r="A15" s="5"/>
      <c r="B15" s="2"/>
      <c r="C15" s="2"/>
      <c r="D15" s="2"/>
      <c r="E15" s="2"/>
      <c r="F15" s="2"/>
      <c r="G15" s="2"/>
      <c r="H15" s="2"/>
      <c r="I15" s="2"/>
      <c r="J15" s="2"/>
      <c r="K15" s="2"/>
      <c r="L1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687D6-998F-4F81-97F2-8A4ADA25BC4E}">
  <dimension ref="A1:N16"/>
  <sheetViews>
    <sheetView workbookViewId="0">
      <selection activeCell="K1" sqref="K1:K10"/>
    </sheetView>
  </sheetViews>
  <sheetFormatPr defaultRowHeight="12.5" x14ac:dyDescent="0.25"/>
  <cols>
    <col min="2" max="2" width="20.26953125" customWidth="1"/>
    <col min="3" max="3" width="11.81640625" customWidth="1"/>
    <col min="4" max="4" width="15.81640625" customWidth="1"/>
    <col min="5" max="5" width="13.81640625" customWidth="1"/>
  </cols>
  <sheetData>
    <row r="1" spans="1:14" ht="15.5" x14ac:dyDescent="0.25">
      <c r="A1" t="s">
        <v>0</v>
      </c>
      <c r="B1" s="3">
        <v>1</v>
      </c>
      <c r="C1" s="3">
        <v>0.1</v>
      </c>
      <c r="D1" s="3">
        <v>0.01</v>
      </c>
      <c r="E1" s="3">
        <v>1E-3</v>
      </c>
      <c r="F1" s="3">
        <v>1E-4</v>
      </c>
      <c r="G1" s="3">
        <v>1.0000000000000001E-5</v>
      </c>
      <c r="H1" s="3">
        <v>9.9999999999999995E-7</v>
      </c>
      <c r="I1" s="3">
        <v>9.9999999999999995E-8</v>
      </c>
      <c r="J1" s="3">
        <v>1E-8</v>
      </c>
      <c r="K1" s="3"/>
    </row>
    <row r="2" spans="1:14" x14ac:dyDescent="0.25">
      <c r="A2" s="9">
        <v>0</v>
      </c>
      <c r="L2" s="4"/>
    </row>
    <row r="3" spans="1:14" x14ac:dyDescent="0.25">
      <c r="A3" s="9">
        <v>1</v>
      </c>
      <c r="L3" s="4"/>
    </row>
    <row r="4" spans="1:14" x14ac:dyDescent="0.25">
      <c r="A4" s="9">
        <v>4</v>
      </c>
      <c r="L4" s="4"/>
    </row>
    <row r="5" spans="1:14" x14ac:dyDescent="0.25">
      <c r="A5" s="9">
        <v>8</v>
      </c>
      <c r="L5" s="4"/>
    </row>
    <row r="6" spans="1:14" x14ac:dyDescent="0.25">
      <c r="A6" s="9">
        <v>12</v>
      </c>
      <c r="L6" s="4"/>
    </row>
    <row r="7" spans="1:14" x14ac:dyDescent="0.25">
      <c r="A7" s="9">
        <v>18</v>
      </c>
      <c r="B7">
        <v>6</v>
      </c>
      <c r="C7">
        <v>6</v>
      </c>
      <c r="D7">
        <v>6</v>
      </c>
      <c r="E7">
        <v>6</v>
      </c>
      <c r="F7">
        <v>6</v>
      </c>
      <c r="G7">
        <v>6</v>
      </c>
      <c r="H7">
        <v>6</v>
      </c>
      <c r="I7">
        <v>4</v>
      </c>
      <c r="J7">
        <v>0</v>
      </c>
      <c r="L7" s="4"/>
      <c r="M7" s="4"/>
      <c r="N7" s="4"/>
    </row>
    <row r="8" spans="1:14" x14ac:dyDescent="0.25">
      <c r="A8" s="9">
        <v>24</v>
      </c>
      <c r="B8">
        <v>6</v>
      </c>
      <c r="C8">
        <v>6</v>
      </c>
      <c r="D8">
        <v>6</v>
      </c>
      <c r="E8">
        <v>6</v>
      </c>
      <c r="F8">
        <v>6</v>
      </c>
      <c r="G8">
        <v>6</v>
      </c>
      <c r="H8">
        <v>5</v>
      </c>
      <c r="I8">
        <v>4</v>
      </c>
      <c r="J8">
        <v>0</v>
      </c>
      <c r="L8" s="4"/>
      <c r="M8" s="4"/>
      <c r="N8" s="4"/>
    </row>
    <row r="9" spans="1:14" x14ac:dyDescent="0.25">
      <c r="A9" s="9">
        <v>48</v>
      </c>
      <c r="B9">
        <v>6</v>
      </c>
      <c r="C9">
        <v>6</v>
      </c>
      <c r="D9">
        <v>6</v>
      </c>
      <c r="E9">
        <v>6</v>
      </c>
      <c r="F9">
        <v>6</v>
      </c>
      <c r="G9">
        <v>6</v>
      </c>
      <c r="H9">
        <v>6</v>
      </c>
      <c r="I9">
        <v>4</v>
      </c>
      <c r="J9">
        <v>2</v>
      </c>
      <c r="L9" s="4"/>
      <c r="M9" s="4"/>
      <c r="N9" s="4"/>
    </row>
    <row r="10" spans="1:14" x14ac:dyDescent="0.25">
      <c r="A10" s="9">
        <v>72</v>
      </c>
      <c r="B10">
        <v>6</v>
      </c>
      <c r="C10">
        <v>6</v>
      </c>
      <c r="D10">
        <v>6</v>
      </c>
      <c r="E10">
        <v>6</v>
      </c>
      <c r="F10">
        <v>6</v>
      </c>
      <c r="G10">
        <v>6</v>
      </c>
      <c r="H10">
        <v>6</v>
      </c>
      <c r="I10">
        <v>2</v>
      </c>
      <c r="J10">
        <v>2</v>
      </c>
      <c r="L10" s="4"/>
      <c r="M10" s="4"/>
      <c r="N10" s="4"/>
    </row>
    <row r="11" spans="1:14" x14ac:dyDescent="0.25">
      <c r="A11" s="9">
        <v>96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4"/>
    </row>
    <row r="12" spans="1:14" x14ac:dyDescent="0.25">
      <c r="A12" s="9">
        <v>120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4"/>
    </row>
    <row r="13" spans="1:14" x14ac:dyDescent="0.25">
      <c r="A13" s="9">
        <v>144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4"/>
    </row>
    <row r="14" spans="1:14" x14ac:dyDescent="0.25">
      <c r="A14" s="9">
        <v>168</v>
      </c>
    </row>
    <row r="15" spans="1:14" x14ac:dyDescent="0.25">
      <c r="B15" s="1"/>
      <c r="C15" s="1"/>
      <c r="D15" s="1"/>
    </row>
    <row r="16" spans="1:14" x14ac:dyDescent="0.25">
      <c r="B16" s="1"/>
      <c r="C16" s="1"/>
      <c r="D1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8AC90-9560-4048-B5A1-3C5C3B1611BF}">
  <dimension ref="A1:N15"/>
  <sheetViews>
    <sheetView workbookViewId="0">
      <selection activeCell="K1" sqref="K1:K10"/>
    </sheetView>
  </sheetViews>
  <sheetFormatPr defaultRowHeight="12.5" x14ac:dyDescent="0.25"/>
  <cols>
    <col min="2" max="2" width="10.26953125" customWidth="1"/>
  </cols>
  <sheetData>
    <row r="1" spans="1:14" ht="15.5" x14ac:dyDescent="0.25">
      <c r="A1" t="s">
        <v>0</v>
      </c>
      <c r="B1" s="3">
        <v>1</v>
      </c>
      <c r="C1" s="3">
        <v>0.1</v>
      </c>
      <c r="D1" s="3">
        <v>0.01</v>
      </c>
      <c r="E1" s="3">
        <v>1E-3</v>
      </c>
      <c r="F1" s="3">
        <v>1E-4</v>
      </c>
      <c r="G1" s="3">
        <v>1.0000000000000001E-5</v>
      </c>
      <c r="H1" s="3">
        <v>9.9999999999999995E-7</v>
      </c>
      <c r="I1" s="3">
        <v>9.9999999999999995E-8</v>
      </c>
      <c r="J1" s="3">
        <v>1E-8</v>
      </c>
      <c r="K1" s="3"/>
    </row>
    <row r="2" spans="1:14" x14ac:dyDescent="0.25">
      <c r="A2" s="9">
        <v>0</v>
      </c>
      <c r="M2" s="4"/>
    </row>
    <row r="3" spans="1:14" x14ac:dyDescent="0.25">
      <c r="A3" s="9">
        <v>1</v>
      </c>
      <c r="M3" s="4"/>
    </row>
    <row r="4" spans="1:14" x14ac:dyDescent="0.25">
      <c r="A4" s="9">
        <v>4</v>
      </c>
      <c r="M4" s="4"/>
    </row>
    <row r="5" spans="1:14" x14ac:dyDescent="0.25">
      <c r="A5" s="9">
        <v>8</v>
      </c>
      <c r="M5" s="4"/>
    </row>
    <row r="6" spans="1:14" x14ac:dyDescent="0.25">
      <c r="A6" s="9">
        <v>12</v>
      </c>
      <c r="M6" s="4"/>
    </row>
    <row r="7" spans="1:14" x14ac:dyDescent="0.25">
      <c r="A7" s="9">
        <v>18</v>
      </c>
      <c r="B7">
        <v>6</v>
      </c>
      <c r="C7">
        <v>6</v>
      </c>
      <c r="D7">
        <v>6</v>
      </c>
      <c r="E7">
        <v>6</v>
      </c>
      <c r="F7">
        <v>6</v>
      </c>
      <c r="G7">
        <v>6</v>
      </c>
      <c r="H7">
        <v>6</v>
      </c>
      <c r="I7">
        <v>1</v>
      </c>
      <c r="J7">
        <v>0</v>
      </c>
      <c r="M7" s="4"/>
      <c r="N7" s="4"/>
    </row>
    <row r="8" spans="1:14" x14ac:dyDescent="0.25">
      <c r="A8" s="9">
        <v>24</v>
      </c>
      <c r="B8">
        <v>6</v>
      </c>
      <c r="C8">
        <v>6</v>
      </c>
      <c r="D8">
        <v>6</v>
      </c>
      <c r="E8">
        <v>6</v>
      </c>
      <c r="F8">
        <v>6</v>
      </c>
      <c r="G8">
        <v>6</v>
      </c>
      <c r="H8">
        <v>6</v>
      </c>
      <c r="I8">
        <v>4</v>
      </c>
      <c r="J8">
        <v>2</v>
      </c>
      <c r="M8" s="4"/>
      <c r="N8" s="4"/>
    </row>
    <row r="9" spans="1:14" x14ac:dyDescent="0.25">
      <c r="A9" s="9">
        <v>48</v>
      </c>
      <c r="B9">
        <v>6</v>
      </c>
      <c r="C9">
        <v>6</v>
      </c>
      <c r="D9">
        <v>6</v>
      </c>
      <c r="E9">
        <v>6</v>
      </c>
      <c r="F9">
        <v>6</v>
      </c>
      <c r="G9">
        <v>6</v>
      </c>
      <c r="H9">
        <v>6</v>
      </c>
      <c r="I9">
        <v>6</v>
      </c>
      <c r="J9">
        <v>0</v>
      </c>
      <c r="M9" s="4"/>
      <c r="N9" s="4"/>
    </row>
    <row r="10" spans="1:14" x14ac:dyDescent="0.25">
      <c r="A10" s="9">
        <v>72</v>
      </c>
      <c r="B10">
        <v>6</v>
      </c>
      <c r="C10">
        <v>6</v>
      </c>
      <c r="D10">
        <v>6</v>
      </c>
      <c r="E10">
        <v>6</v>
      </c>
      <c r="F10">
        <v>6</v>
      </c>
      <c r="G10">
        <v>6</v>
      </c>
      <c r="H10">
        <v>6</v>
      </c>
      <c r="I10">
        <v>4</v>
      </c>
      <c r="J10">
        <v>2</v>
      </c>
      <c r="M10" s="4"/>
      <c r="N10" s="4"/>
    </row>
    <row r="11" spans="1:14" x14ac:dyDescent="0.25">
      <c r="A11" s="9">
        <v>96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4"/>
    </row>
    <row r="12" spans="1:14" x14ac:dyDescent="0.25">
      <c r="A12" s="9">
        <v>120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4"/>
    </row>
    <row r="13" spans="1:14" x14ac:dyDescent="0.25">
      <c r="A13" s="9">
        <v>144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4"/>
    </row>
    <row r="14" spans="1:14" x14ac:dyDescent="0.25">
      <c r="A14" s="9">
        <v>168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4"/>
    </row>
    <row r="15" spans="1:14" x14ac:dyDescent="0.25">
      <c r="A15" s="5"/>
      <c r="B15" s="2"/>
      <c r="C15" s="2"/>
      <c r="D15" s="2"/>
      <c r="E15" s="2"/>
      <c r="F15" s="2"/>
      <c r="G15" s="2"/>
      <c r="H15" s="2"/>
      <c r="I15" s="2"/>
      <c r="J15" s="2"/>
      <c r="K15" s="2"/>
      <c r="L15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25B4C-D13B-46D9-B33B-642DEC508857}">
  <dimension ref="A1:N16"/>
  <sheetViews>
    <sheetView workbookViewId="0">
      <selection activeCell="K1" sqref="K1:K14"/>
    </sheetView>
  </sheetViews>
  <sheetFormatPr defaultRowHeight="12.5" x14ac:dyDescent="0.25"/>
  <cols>
    <col min="2" max="2" width="20.26953125" customWidth="1"/>
    <col min="3" max="3" width="11.81640625" customWidth="1"/>
    <col min="4" max="4" width="15.81640625" customWidth="1"/>
    <col min="5" max="5" width="13.81640625" customWidth="1"/>
  </cols>
  <sheetData>
    <row r="1" spans="1:14" ht="15.5" x14ac:dyDescent="0.25">
      <c r="A1" t="s">
        <v>0</v>
      </c>
      <c r="B1" s="3">
        <v>1</v>
      </c>
      <c r="C1" s="3">
        <v>0.1</v>
      </c>
      <c r="D1" s="3">
        <v>0.01</v>
      </c>
      <c r="E1" s="3">
        <v>1E-3</v>
      </c>
      <c r="F1" s="3">
        <v>1E-4</v>
      </c>
      <c r="G1" s="3">
        <v>1.0000000000000001E-5</v>
      </c>
      <c r="H1" s="3">
        <v>9.9999999999999995E-7</v>
      </c>
      <c r="I1" s="3">
        <v>9.9999999999999995E-8</v>
      </c>
      <c r="J1" s="3">
        <v>1E-8</v>
      </c>
      <c r="K1" s="3"/>
    </row>
    <row r="2" spans="1:14" x14ac:dyDescent="0.25">
      <c r="A2" s="9">
        <v>0</v>
      </c>
      <c r="L2" s="4"/>
      <c r="M2" s="4"/>
    </row>
    <row r="3" spans="1:14" x14ac:dyDescent="0.25">
      <c r="A3" s="9">
        <v>1</v>
      </c>
      <c r="L3" s="4"/>
      <c r="M3" s="4"/>
    </row>
    <row r="4" spans="1:14" x14ac:dyDescent="0.25">
      <c r="A4" s="9">
        <v>4</v>
      </c>
    </row>
    <row r="5" spans="1:14" x14ac:dyDescent="0.25">
      <c r="A5" s="9">
        <v>8</v>
      </c>
    </row>
    <row r="6" spans="1:14" x14ac:dyDescent="0.25">
      <c r="A6" s="9">
        <v>12</v>
      </c>
    </row>
    <row r="7" spans="1:14" x14ac:dyDescent="0.25">
      <c r="A7" s="9">
        <v>18</v>
      </c>
    </row>
    <row r="8" spans="1:14" x14ac:dyDescent="0.25">
      <c r="A8" s="9">
        <v>24</v>
      </c>
    </row>
    <row r="9" spans="1:14" x14ac:dyDescent="0.25">
      <c r="A9" s="9">
        <v>48</v>
      </c>
      <c r="L9" s="4"/>
    </row>
    <row r="10" spans="1:14" x14ac:dyDescent="0.25">
      <c r="A10" s="9">
        <v>72</v>
      </c>
      <c r="B10">
        <v>6</v>
      </c>
      <c r="C10">
        <v>6</v>
      </c>
      <c r="D10">
        <v>6</v>
      </c>
      <c r="E10">
        <v>6</v>
      </c>
      <c r="F10">
        <v>6</v>
      </c>
      <c r="G10">
        <v>6</v>
      </c>
      <c r="H10">
        <v>6</v>
      </c>
      <c r="I10">
        <v>4</v>
      </c>
      <c r="J10">
        <v>2</v>
      </c>
      <c r="L10" s="4"/>
      <c r="M10" s="4"/>
      <c r="N10" s="4"/>
    </row>
    <row r="11" spans="1:14" x14ac:dyDescent="0.25">
      <c r="A11" s="9">
        <v>96</v>
      </c>
      <c r="B11">
        <v>6</v>
      </c>
      <c r="C11">
        <v>6</v>
      </c>
      <c r="D11">
        <v>6</v>
      </c>
      <c r="E11">
        <v>6</v>
      </c>
      <c r="F11">
        <v>6</v>
      </c>
      <c r="G11">
        <v>6</v>
      </c>
      <c r="H11">
        <v>5</v>
      </c>
      <c r="I11">
        <v>2</v>
      </c>
      <c r="J11">
        <v>0</v>
      </c>
      <c r="L11" s="4"/>
      <c r="M11" s="4"/>
      <c r="N11" s="4"/>
    </row>
    <row r="12" spans="1:14" x14ac:dyDescent="0.25">
      <c r="A12" s="9">
        <v>120</v>
      </c>
      <c r="B12">
        <v>6</v>
      </c>
      <c r="C12">
        <v>6</v>
      </c>
      <c r="D12">
        <v>6</v>
      </c>
      <c r="E12">
        <v>6</v>
      </c>
      <c r="F12">
        <v>6</v>
      </c>
      <c r="G12">
        <v>6</v>
      </c>
      <c r="H12">
        <v>6</v>
      </c>
      <c r="I12">
        <v>1</v>
      </c>
      <c r="J12">
        <v>0</v>
      </c>
      <c r="L12" s="4"/>
      <c r="M12" s="4"/>
      <c r="N12" s="4"/>
    </row>
    <row r="13" spans="1:14" x14ac:dyDescent="0.25">
      <c r="A13" s="9">
        <v>144</v>
      </c>
      <c r="B13">
        <v>6</v>
      </c>
      <c r="C13">
        <v>6</v>
      </c>
      <c r="D13">
        <v>6</v>
      </c>
      <c r="E13">
        <v>6</v>
      </c>
      <c r="F13">
        <v>6</v>
      </c>
      <c r="G13">
        <v>6</v>
      </c>
      <c r="H13">
        <v>3</v>
      </c>
      <c r="I13">
        <v>0</v>
      </c>
      <c r="J13">
        <v>0</v>
      </c>
      <c r="L13" s="4"/>
      <c r="M13" s="4"/>
      <c r="N13" s="4"/>
    </row>
    <row r="14" spans="1:14" x14ac:dyDescent="0.25">
      <c r="A14" s="9">
        <v>168</v>
      </c>
      <c r="B14">
        <v>6</v>
      </c>
      <c r="C14">
        <v>6</v>
      </c>
      <c r="D14">
        <v>6</v>
      </c>
      <c r="E14">
        <v>6</v>
      </c>
      <c r="F14">
        <v>6</v>
      </c>
      <c r="G14">
        <v>6</v>
      </c>
      <c r="H14">
        <v>4</v>
      </c>
      <c r="I14">
        <v>1</v>
      </c>
      <c r="J14">
        <v>0</v>
      </c>
      <c r="L14" s="4"/>
      <c r="M14" s="4"/>
      <c r="N14" s="4"/>
    </row>
    <row r="15" spans="1:14" x14ac:dyDescent="0.25">
      <c r="B15" s="1"/>
      <c r="C15" s="1"/>
      <c r="D15" s="1"/>
    </row>
    <row r="16" spans="1:14" x14ac:dyDescent="0.25">
      <c r="B16" s="1"/>
      <c r="C16" s="1"/>
      <c r="D16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"/>
  <sheetViews>
    <sheetView workbookViewId="0">
      <selection activeCell="K1" sqref="K1:K6"/>
    </sheetView>
  </sheetViews>
  <sheetFormatPr defaultRowHeight="12.5" x14ac:dyDescent="0.25"/>
  <cols>
    <col min="2" max="2" width="20.26953125" customWidth="1"/>
    <col min="3" max="3" width="11.81640625" customWidth="1"/>
    <col min="4" max="4" width="15.81640625" customWidth="1"/>
    <col min="5" max="5" width="13.81640625" customWidth="1"/>
  </cols>
  <sheetData>
    <row r="1" spans="1:14" ht="15.5" x14ac:dyDescent="0.25">
      <c r="A1" t="s">
        <v>0</v>
      </c>
      <c r="B1" s="3">
        <v>1</v>
      </c>
      <c r="C1" s="3">
        <v>0.1</v>
      </c>
      <c r="D1" s="3">
        <v>0.01</v>
      </c>
      <c r="E1" s="3">
        <v>1E-3</v>
      </c>
      <c r="F1" s="3">
        <v>1E-4</v>
      </c>
      <c r="G1" s="3">
        <v>1.0000000000000001E-5</v>
      </c>
      <c r="H1" s="3">
        <v>9.9999999999999995E-7</v>
      </c>
      <c r="I1" s="3">
        <v>9.9999999999999995E-8</v>
      </c>
      <c r="J1" s="3">
        <v>1E-8</v>
      </c>
      <c r="K1" s="3"/>
      <c r="L1" s="2"/>
    </row>
    <row r="2" spans="1:14" x14ac:dyDescent="0.25">
      <c r="A2" s="9">
        <v>0</v>
      </c>
      <c r="B2">
        <v>6</v>
      </c>
      <c r="C2">
        <v>6</v>
      </c>
      <c r="D2">
        <v>6</v>
      </c>
      <c r="E2">
        <v>6</v>
      </c>
      <c r="F2">
        <v>6</v>
      </c>
      <c r="G2">
        <v>6</v>
      </c>
      <c r="H2">
        <v>5</v>
      </c>
      <c r="I2">
        <v>0</v>
      </c>
      <c r="J2">
        <v>0</v>
      </c>
      <c r="L2" s="2"/>
      <c r="M2" s="4"/>
      <c r="N2" s="4"/>
    </row>
    <row r="3" spans="1:14" x14ac:dyDescent="0.25">
      <c r="A3" s="9">
        <v>1</v>
      </c>
      <c r="B3">
        <v>6</v>
      </c>
      <c r="C3">
        <v>6</v>
      </c>
      <c r="D3">
        <v>6</v>
      </c>
      <c r="E3">
        <v>6</v>
      </c>
      <c r="F3">
        <v>6</v>
      </c>
      <c r="G3">
        <v>6</v>
      </c>
      <c r="H3">
        <v>4</v>
      </c>
      <c r="I3">
        <v>0</v>
      </c>
      <c r="J3">
        <v>0</v>
      </c>
      <c r="L3" s="2"/>
      <c r="M3" s="4"/>
      <c r="N3" s="4"/>
    </row>
    <row r="4" spans="1:14" x14ac:dyDescent="0.25">
      <c r="A4" s="9">
        <v>4</v>
      </c>
      <c r="B4">
        <v>6</v>
      </c>
      <c r="C4">
        <v>6</v>
      </c>
      <c r="D4">
        <v>4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L4" s="2"/>
      <c r="M4" s="4"/>
      <c r="N4" s="4"/>
    </row>
    <row r="5" spans="1:14" x14ac:dyDescent="0.25">
      <c r="A5" s="9">
        <v>8</v>
      </c>
      <c r="B5">
        <v>6</v>
      </c>
      <c r="C5">
        <v>6</v>
      </c>
      <c r="D5">
        <v>6</v>
      </c>
      <c r="E5">
        <v>6</v>
      </c>
      <c r="F5">
        <v>6</v>
      </c>
      <c r="G5">
        <v>6</v>
      </c>
      <c r="H5">
        <v>6</v>
      </c>
      <c r="I5">
        <v>2</v>
      </c>
      <c r="J5">
        <v>0</v>
      </c>
      <c r="L5" s="4"/>
      <c r="M5" s="4"/>
      <c r="N5" s="4"/>
    </row>
    <row r="6" spans="1:14" x14ac:dyDescent="0.25">
      <c r="A6" s="9">
        <v>12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I6">
        <v>4</v>
      </c>
      <c r="J6">
        <v>0</v>
      </c>
      <c r="L6" s="4"/>
      <c r="M6" s="4"/>
      <c r="N6" s="4"/>
    </row>
    <row r="7" spans="1:14" x14ac:dyDescent="0.25">
      <c r="A7" s="9">
        <v>18</v>
      </c>
      <c r="L7" s="2"/>
    </row>
    <row r="8" spans="1:14" x14ac:dyDescent="0.25">
      <c r="A8" s="9">
        <v>24</v>
      </c>
      <c r="L8" s="2"/>
    </row>
    <row r="9" spans="1:14" x14ac:dyDescent="0.25">
      <c r="A9" s="9">
        <v>48</v>
      </c>
      <c r="L9" s="2"/>
    </row>
    <row r="10" spans="1:14" x14ac:dyDescent="0.25">
      <c r="A10" s="9">
        <v>72</v>
      </c>
      <c r="L10" s="2"/>
    </row>
    <row r="11" spans="1:14" x14ac:dyDescent="0.25">
      <c r="A11" s="9">
        <v>96</v>
      </c>
      <c r="B11" s="2"/>
      <c r="C11" s="2"/>
      <c r="D11" s="2"/>
      <c r="E11" s="2"/>
      <c r="F11" s="2"/>
      <c r="G11" s="2"/>
      <c r="H11" s="2"/>
      <c r="I11" s="2"/>
      <c r="J11" s="2"/>
      <c r="K11" s="4"/>
      <c r="L11" s="2"/>
    </row>
    <row r="12" spans="1:14" x14ac:dyDescent="0.25">
      <c r="A12" s="9">
        <v>120</v>
      </c>
      <c r="B12" s="2"/>
      <c r="C12" s="2"/>
      <c r="D12" s="2"/>
      <c r="E12" s="2"/>
      <c r="F12" s="2"/>
      <c r="G12" s="2"/>
      <c r="H12" s="2"/>
      <c r="I12" s="2"/>
      <c r="J12" s="2"/>
      <c r="K12" s="4"/>
      <c r="L12" s="2"/>
    </row>
    <row r="13" spans="1:14" x14ac:dyDescent="0.25">
      <c r="A13" s="9">
        <v>144</v>
      </c>
      <c r="B13" s="2"/>
      <c r="C13" s="2"/>
      <c r="D13" s="2"/>
      <c r="E13" s="2"/>
      <c r="F13" s="2"/>
      <c r="G13" s="2"/>
      <c r="H13" s="2"/>
      <c r="I13" s="2"/>
      <c r="J13" s="2"/>
      <c r="K13" s="4"/>
      <c r="L13" s="2"/>
    </row>
    <row r="14" spans="1:14" x14ac:dyDescent="0.25">
      <c r="A14" s="9">
        <v>168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4" x14ac:dyDescent="0.25">
      <c r="B15" s="1"/>
      <c r="C15" s="1"/>
      <c r="D15" s="1"/>
    </row>
    <row r="16" spans="1:14" x14ac:dyDescent="0.25">
      <c r="B16" s="1"/>
      <c r="C16" s="1"/>
      <c r="D16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5"/>
  <sheetViews>
    <sheetView workbookViewId="0">
      <selection activeCell="K1" sqref="K1:K6"/>
    </sheetView>
  </sheetViews>
  <sheetFormatPr defaultRowHeight="12.5" x14ac:dyDescent="0.25"/>
  <cols>
    <col min="2" max="2" width="11.90625" customWidth="1"/>
  </cols>
  <sheetData>
    <row r="1" spans="1:11" ht="15.5" x14ac:dyDescent="0.25">
      <c r="A1" t="s">
        <v>0</v>
      </c>
      <c r="B1" s="3">
        <v>1</v>
      </c>
      <c r="C1" s="3">
        <v>0.1</v>
      </c>
      <c r="D1" s="3">
        <v>0.01</v>
      </c>
      <c r="E1" s="3">
        <v>1E-3</v>
      </c>
      <c r="F1" s="3">
        <v>1E-4</v>
      </c>
      <c r="G1" s="3">
        <v>1.0000000000000001E-5</v>
      </c>
      <c r="H1" s="3">
        <v>9.9999999999999995E-7</v>
      </c>
      <c r="I1" s="3">
        <v>9.9999999999999995E-8</v>
      </c>
      <c r="J1" s="3">
        <v>1E-8</v>
      </c>
      <c r="K1" s="3"/>
    </row>
    <row r="2" spans="1:11" x14ac:dyDescent="0.25">
      <c r="A2" s="9">
        <v>0</v>
      </c>
    </row>
    <row r="3" spans="1:11" x14ac:dyDescent="0.25">
      <c r="A3" s="9">
        <v>1</v>
      </c>
    </row>
    <row r="4" spans="1:11" x14ac:dyDescent="0.25">
      <c r="A4" s="9">
        <v>4</v>
      </c>
      <c r="B4">
        <v>6</v>
      </c>
      <c r="C4">
        <v>6</v>
      </c>
      <c r="D4">
        <v>3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</row>
    <row r="5" spans="1:11" x14ac:dyDescent="0.25">
      <c r="A5" s="9">
        <v>8</v>
      </c>
      <c r="B5">
        <v>6</v>
      </c>
      <c r="C5">
        <v>6</v>
      </c>
      <c r="D5">
        <v>6</v>
      </c>
      <c r="E5">
        <v>6</v>
      </c>
      <c r="F5">
        <v>6</v>
      </c>
      <c r="G5">
        <v>6</v>
      </c>
      <c r="H5">
        <v>4</v>
      </c>
      <c r="I5">
        <v>1</v>
      </c>
      <c r="J5">
        <v>0</v>
      </c>
    </row>
    <row r="6" spans="1:11" x14ac:dyDescent="0.25">
      <c r="A6" s="9">
        <v>12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I6">
        <v>6</v>
      </c>
      <c r="J6">
        <v>0</v>
      </c>
    </row>
    <row r="7" spans="1:11" x14ac:dyDescent="0.25">
      <c r="A7" s="9">
        <v>18</v>
      </c>
    </row>
    <row r="8" spans="1:11" x14ac:dyDescent="0.25">
      <c r="A8" s="9">
        <v>24</v>
      </c>
    </row>
    <row r="9" spans="1:11" x14ac:dyDescent="0.25">
      <c r="A9" s="9">
        <v>48</v>
      </c>
    </row>
    <row r="10" spans="1:11" x14ac:dyDescent="0.25">
      <c r="A10" s="9">
        <v>72</v>
      </c>
    </row>
    <row r="11" spans="1:11" x14ac:dyDescent="0.25">
      <c r="A11" s="9">
        <v>96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9">
        <v>120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9">
        <v>144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9">
        <v>168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5"/>
      <c r="B15" s="2"/>
      <c r="C15" s="2"/>
      <c r="D15" s="2"/>
      <c r="E15" s="2"/>
      <c r="F15" s="2"/>
      <c r="G15" s="2"/>
      <c r="H15" s="2"/>
      <c r="I15" s="2"/>
      <c r="J15" s="2"/>
      <c r="K15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5BB6D-BF44-4F2D-973B-440E079A9486}">
  <dimension ref="A1:N16"/>
  <sheetViews>
    <sheetView workbookViewId="0">
      <selection activeCell="K1" sqref="K1:K10"/>
    </sheetView>
  </sheetViews>
  <sheetFormatPr defaultRowHeight="12.5" x14ac:dyDescent="0.25"/>
  <cols>
    <col min="2" max="2" width="20.26953125" customWidth="1"/>
    <col min="3" max="3" width="11.81640625" customWidth="1"/>
    <col min="4" max="4" width="15.81640625" customWidth="1"/>
    <col min="5" max="5" width="13.81640625" customWidth="1"/>
  </cols>
  <sheetData>
    <row r="1" spans="1:14" ht="15.5" x14ac:dyDescent="0.25">
      <c r="A1" t="s">
        <v>0</v>
      </c>
      <c r="B1" s="3">
        <v>1</v>
      </c>
      <c r="C1" s="3">
        <v>0.1</v>
      </c>
      <c r="D1" s="3">
        <v>0.01</v>
      </c>
      <c r="E1" s="3">
        <v>1E-3</v>
      </c>
      <c r="F1" s="3">
        <v>1E-4</v>
      </c>
      <c r="G1" s="3">
        <v>1.0000000000000001E-5</v>
      </c>
      <c r="H1" s="3">
        <v>9.9999999999999995E-7</v>
      </c>
      <c r="I1" s="3">
        <v>9.9999999999999995E-8</v>
      </c>
      <c r="J1" s="3">
        <v>1E-8</v>
      </c>
      <c r="K1" s="3"/>
      <c r="L1" s="2"/>
    </row>
    <row r="2" spans="1:14" x14ac:dyDescent="0.25">
      <c r="A2" s="9">
        <v>0</v>
      </c>
      <c r="L2" s="2"/>
    </row>
    <row r="3" spans="1:14" x14ac:dyDescent="0.25">
      <c r="A3" s="9">
        <v>1</v>
      </c>
      <c r="L3" s="2"/>
    </row>
    <row r="4" spans="1:14" x14ac:dyDescent="0.25">
      <c r="A4" s="9">
        <v>4</v>
      </c>
      <c r="L4" s="2"/>
    </row>
    <row r="5" spans="1:14" x14ac:dyDescent="0.25">
      <c r="A5" s="9">
        <v>8</v>
      </c>
      <c r="L5" s="2"/>
    </row>
    <row r="6" spans="1:14" x14ac:dyDescent="0.25">
      <c r="A6" s="9">
        <v>12</v>
      </c>
      <c r="L6" s="2"/>
    </row>
    <row r="7" spans="1:14" x14ac:dyDescent="0.25">
      <c r="A7" s="9">
        <v>18</v>
      </c>
      <c r="B7">
        <v>6</v>
      </c>
      <c r="C7">
        <v>6</v>
      </c>
      <c r="D7">
        <v>6</v>
      </c>
      <c r="E7">
        <v>6</v>
      </c>
      <c r="F7">
        <v>6</v>
      </c>
      <c r="G7">
        <v>6</v>
      </c>
      <c r="H7">
        <v>5</v>
      </c>
      <c r="I7">
        <v>2</v>
      </c>
      <c r="J7">
        <v>0</v>
      </c>
      <c r="L7" s="2"/>
      <c r="M7" s="4"/>
      <c r="N7" s="4"/>
    </row>
    <row r="8" spans="1:14" x14ac:dyDescent="0.25">
      <c r="A8" s="9">
        <v>24</v>
      </c>
      <c r="B8">
        <v>6</v>
      </c>
      <c r="C8">
        <v>6</v>
      </c>
      <c r="D8">
        <v>6</v>
      </c>
      <c r="E8">
        <v>6</v>
      </c>
      <c r="F8">
        <v>6</v>
      </c>
      <c r="G8">
        <v>6</v>
      </c>
      <c r="H8">
        <v>4</v>
      </c>
      <c r="I8">
        <v>2</v>
      </c>
      <c r="J8">
        <v>0</v>
      </c>
      <c r="L8" s="2"/>
      <c r="M8" s="4"/>
      <c r="N8" s="4"/>
    </row>
    <row r="9" spans="1:14" x14ac:dyDescent="0.25">
      <c r="A9" s="9">
        <v>48</v>
      </c>
      <c r="B9">
        <v>6</v>
      </c>
      <c r="C9">
        <v>6</v>
      </c>
      <c r="D9">
        <v>6</v>
      </c>
      <c r="E9">
        <v>6</v>
      </c>
      <c r="F9">
        <v>6</v>
      </c>
      <c r="G9">
        <v>6</v>
      </c>
      <c r="H9">
        <v>6</v>
      </c>
      <c r="I9">
        <v>2</v>
      </c>
      <c r="J9">
        <v>0</v>
      </c>
      <c r="L9" s="2"/>
      <c r="M9" s="4"/>
      <c r="N9" s="4"/>
    </row>
    <row r="10" spans="1:14" x14ac:dyDescent="0.25">
      <c r="A10" s="9">
        <v>72</v>
      </c>
      <c r="B10">
        <v>6</v>
      </c>
      <c r="C10">
        <v>6</v>
      </c>
      <c r="D10">
        <v>6</v>
      </c>
      <c r="E10">
        <v>6</v>
      </c>
      <c r="F10">
        <v>6</v>
      </c>
      <c r="G10">
        <v>6</v>
      </c>
      <c r="H10">
        <v>4</v>
      </c>
      <c r="I10">
        <v>1</v>
      </c>
      <c r="J10">
        <v>0</v>
      </c>
      <c r="L10" s="4"/>
      <c r="M10" s="4"/>
      <c r="N10" s="4"/>
    </row>
    <row r="11" spans="1:14" x14ac:dyDescent="0.25">
      <c r="A11" s="9">
        <v>96</v>
      </c>
      <c r="B11" s="2"/>
      <c r="C11" s="2"/>
      <c r="D11" s="9"/>
      <c r="E11" s="2"/>
      <c r="F11" s="2"/>
      <c r="G11" s="2"/>
      <c r="H11" s="2"/>
      <c r="I11" s="2"/>
      <c r="J11" s="2"/>
      <c r="K11" s="4"/>
      <c r="L11" s="2"/>
    </row>
    <row r="12" spans="1:14" x14ac:dyDescent="0.25">
      <c r="A12" s="9">
        <v>120</v>
      </c>
      <c r="B12" s="2"/>
      <c r="C12" s="2"/>
      <c r="D12" s="9"/>
      <c r="E12" s="2"/>
      <c r="F12" s="2"/>
      <c r="G12" s="2"/>
      <c r="H12" s="2"/>
      <c r="I12" s="2"/>
      <c r="J12" s="2"/>
      <c r="K12" s="4"/>
      <c r="L12" s="2"/>
    </row>
    <row r="13" spans="1:14" x14ac:dyDescent="0.25">
      <c r="A13" s="9">
        <v>144</v>
      </c>
      <c r="B13" s="2"/>
      <c r="C13" s="2"/>
      <c r="D13" s="9"/>
      <c r="E13" s="2"/>
      <c r="F13" s="2"/>
      <c r="G13" s="2"/>
      <c r="H13" s="2"/>
      <c r="I13" s="2"/>
      <c r="J13" s="2"/>
      <c r="K13" s="4"/>
      <c r="L13" s="2"/>
    </row>
    <row r="14" spans="1:14" x14ac:dyDescent="0.25">
      <c r="A14" s="9">
        <v>168</v>
      </c>
      <c r="B14" s="2"/>
      <c r="C14" s="2"/>
      <c r="D14" s="9"/>
      <c r="E14" s="2"/>
      <c r="F14" s="2"/>
      <c r="G14" s="2"/>
      <c r="H14" s="2"/>
      <c r="I14" s="2"/>
      <c r="J14" s="2"/>
      <c r="K14" s="2"/>
      <c r="L14" s="2"/>
    </row>
    <row r="15" spans="1:14" x14ac:dyDescent="0.25">
      <c r="B15" s="1"/>
      <c r="C15" s="1"/>
      <c r="D15" s="1"/>
    </row>
    <row r="16" spans="1:14" x14ac:dyDescent="0.25">
      <c r="B16" s="1"/>
      <c r="C16" s="1"/>
      <c r="D16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14345-0334-453C-8751-90529BDBDCFD}">
  <dimension ref="A1:K15"/>
  <sheetViews>
    <sheetView workbookViewId="0">
      <selection activeCell="K1" sqref="K1:K10"/>
    </sheetView>
  </sheetViews>
  <sheetFormatPr defaultRowHeight="12.5" x14ac:dyDescent="0.25"/>
  <cols>
    <col min="2" max="2" width="11.90625" customWidth="1"/>
  </cols>
  <sheetData>
    <row r="1" spans="1:11" ht="15.5" x14ac:dyDescent="0.25">
      <c r="A1" t="s">
        <v>0</v>
      </c>
      <c r="B1" s="3">
        <v>1</v>
      </c>
      <c r="C1" s="3">
        <v>0.1</v>
      </c>
      <c r="D1" s="3">
        <v>0.01</v>
      </c>
      <c r="E1" s="3">
        <v>1E-3</v>
      </c>
      <c r="F1" s="3">
        <v>1E-4</v>
      </c>
      <c r="G1" s="3">
        <v>1.0000000000000001E-5</v>
      </c>
      <c r="H1" s="3">
        <v>9.9999999999999995E-7</v>
      </c>
      <c r="I1" s="3">
        <v>9.9999999999999995E-8</v>
      </c>
      <c r="J1" s="3">
        <v>1E-8</v>
      </c>
      <c r="K1" s="3"/>
    </row>
    <row r="2" spans="1:11" x14ac:dyDescent="0.25">
      <c r="A2" s="9">
        <v>0</v>
      </c>
      <c r="B2">
        <v>6</v>
      </c>
      <c r="C2">
        <v>6</v>
      </c>
      <c r="D2">
        <v>6</v>
      </c>
      <c r="E2">
        <v>6</v>
      </c>
      <c r="F2">
        <v>6</v>
      </c>
      <c r="G2">
        <v>5</v>
      </c>
      <c r="H2">
        <v>4</v>
      </c>
      <c r="I2">
        <v>0</v>
      </c>
      <c r="J2">
        <v>0</v>
      </c>
    </row>
    <row r="3" spans="1:11" x14ac:dyDescent="0.25">
      <c r="A3" s="9">
        <v>1</v>
      </c>
      <c r="B3">
        <v>6</v>
      </c>
      <c r="C3">
        <v>6</v>
      </c>
      <c r="D3">
        <v>6</v>
      </c>
      <c r="E3">
        <v>6</v>
      </c>
      <c r="F3">
        <v>6</v>
      </c>
      <c r="G3">
        <v>5</v>
      </c>
      <c r="H3">
        <v>3</v>
      </c>
      <c r="I3">
        <v>1</v>
      </c>
      <c r="J3">
        <v>0</v>
      </c>
    </row>
    <row r="4" spans="1:11" x14ac:dyDescent="0.25">
      <c r="A4" s="9">
        <v>4</v>
      </c>
    </row>
    <row r="5" spans="1:11" x14ac:dyDescent="0.25">
      <c r="A5" s="9">
        <v>8</v>
      </c>
    </row>
    <row r="6" spans="1:11" x14ac:dyDescent="0.25">
      <c r="A6" s="9">
        <v>12</v>
      </c>
    </row>
    <row r="7" spans="1:11" x14ac:dyDescent="0.25">
      <c r="A7" s="9">
        <v>18</v>
      </c>
      <c r="B7">
        <v>6</v>
      </c>
      <c r="C7">
        <v>6</v>
      </c>
      <c r="D7">
        <v>6</v>
      </c>
      <c r="E7">
        <v>6</v>
      </c>
      <c r="F7">
        <v>6</v>
      </c>
      <c r="G7">
        <v>6</v>
      </c>
      <c r="H7">
        <v>6</v>
      </c>
      <c r="I7">
        <v>3</v>
      </c>
      <c r="J7">
        <v>0</v>
      </c>
    </row>
    <row r="8" spans="1:11" x14ac:dyDescent="0.25">
      <c r="A8" s="9">
        <v>24</v>
      </c>
      <c r="B8">
        <v>6</v>
      </c>
      <c r="C8">
        <v>6</v>
      </c>
      <c r="D8">
        <v>6</v>
      </c>
      <c r="E8">
        <v>6</v>
      </c>
      <c r="F8">
        <v>6</v>
      </c>
      <c r="G8">
        <v>6</v>
      </c>
      <c r="H8">
        <v>6</v>
      </c>
      <c r="I8">
        <v>4</v>
      </c>
      <c r="J8">
        <v>1</v>
      </c>
    </row>
    <row r="9" spans="1:11" x14ac:dyDescent="0.25">
      <c r="A9" s="9">
        <v>48</v>
      </c>
      <c r="B9">
        <v>6</v>
      </c>
      <c r="C9">
        <v>6</v>
      </c>
      <c r="D9">
        <v>6</v>
      </c>
      <c r="E9">
        <v>6</v>
      </c>
      <c r="F9">
        <v>6</v>
      </c>
      <c r="G9">
        <v>6</v>
      </c>
      <c r="H9">
        <v>5</v>
      </c>
      <c r="I9">
        <v>0</v>
      </c>
      <c r="J9">
        <v>0</v>
      </c>
    </row>
    <row r="10" spans="1:11" x14ac:dyDescent="0.25">
      <c r="A10" s="9">
        <v>72</v>
      </c>
      <c r="B10">
        <v>6</v>
      </c>
      <c r="C10">
        <v>6</v>
      </c>
      <c r="D10">
        <v>6</v>
      </c>
      <c r="E10">
        <v>6</v>
      </c>
      <c r="F10">
        <v>6</v>
      </c>
      <c r="G10">
        <v>6</v>
      </c>
      <c r="H10">
        <v>3</v>
      </c>
      <c r="I10">
        <v>1</v>
      </c>
      <c r="J10">
        <v>1</v>
      </c>
    </row>
    <row r="11" spans="1:11" x14ac:dyDescent="0.25">
      <c r="A11" s="9">
        <v>96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9">
        <v>120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9">
        <v>144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9">
        <v>168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5"/>
      <c r="B15" s="2"/>
      <c r="C15" s="2"/>
      <c r="D15" s="2"/>
      <c r="E15" s="2"/>
      <c r="F15" s="2"/>
      <c r="G15" s="2"/>
      <c r="H15" s="2"/>
      <c r="I15" s="2"/>
      <c r="J15" s="2"/>
      <c r="K15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6CD31-430B-4EBF-8200-61C995A73CB0}">
  <dimension ref="A1:N16"/>
  <sheetViews>
    <sheetView workbookViewId="0">
      <selection activeCell="K1" sqref="K1:K14"/>
    </sheetView>
  </sheetViews>
  <sheetFormatPr defaultRowHeight="12.5" x14ac:dyDescent="0.25"/>
  <cols>
    <col min="2" max="2" width="20.26953125" customWidth="1"/>
    <col min="3" max="3" width="11.81640625" customWidth="1"/>
    <col min="4" max="4" width="15.81640625" customWidth="1"/>
    <col min="5" max="5" width="13.81640625" customWidth="1"/>
  </cols>
  <sheetData>
    <row r="1" spans="1:14" ht="15.5" x14ac:dyDescent="0.25">
      <c r="A1" t="s">
        <v>0</v>
      </c>
      <c r="B1" s="3">
        <v>1</v>
      </c>
      <c r="C1" s="3">
        <v>0.1</v>
      </c>
      <c r="D1" s="3">
        <v>0.01</v>
      </c>
      <c r="E1" s="3">
        <v>1E-3</v>
      </c>
      <c r="F1" s="3">
        <v>1E-4</v>
      </c>
      <c r="G1" s="3">
        <v>1.0000000000000001E-5</v>
      </c>
      <c r="H1" s="3">
        <v>9.9999999999999995E-7</v>
      </c>
      <c r="I1" s="3">
        <v>9.9999999999999995E-8</v>
      </c>
      <c r="J1" s="3">
        <v>1E-8</v>
      </c>
      <c r="K1" s="3"/>
    </row>
    <row r="2" spans="1:14" x14ac:dyDescent="0.25">
      <c r="A2" s="9">
        <v>0</v>
      </c>
      <c r="L2" s="4"/>
      <c r="M2" s="4"/>
    </row>
    <row r="3" spans="1:14" x14ac:dyDescent="0.25">
      <c r="A3" s="9">
        <v>1</v>
      </c>
      <c r="L3" s="4"/>
      <c r="M3" s="4"/>
    </row>
    <row r="4" spans="1:14" x14ac:dyDescent="0.25">
      <c r="A4" s="9">
        <v>4</v>
      </c>
    </row>
    <row r="5" spans="1:14" x14ac:dyDescent="0.25">
      <c r="A5" s="9">
        <v>8</v>
      </c>
    </row>
    <row r="6" spans="1:14" x14ac:dyDescent="0.25">
      <c r="A6" s="9">
        <v>12</v>
      </c>
    </row>
    <row r="7" spans="1:14" x14ac:dyDescent="0.25">
      <c r="A7" s="9">
        <v>18</v>
      </c>
    </row>
    <row r="8" spans="1:14" x14ac:dyDescent="0.25">
      <c r="A8" s="9">
        <v>24</v>
      </c>
    </row>
    <row r="9" spans="1:14" x14ac:dyDescent="0.25">
      <c r="A9" s="9">
        <v>48</v>
      </c>
      <c r="L9" s="4"/>
    </row>
    <row r="10" spans="1:14" x14ac:dyDescent="0.25">
      <c r="A10" s="9">
        <v>72</v>
      </c>
      <c r="B10">
        <v>6</v>
      </c>
      <c r="C10">
        <v>6</v>
      </c>
      <c r="D10">
        <v>6</v>
      </c>
      <c r="E10">
        <v>6</v>
      </c>
      <c r="F10">
        <v>6</v>
      </c>
      <c r="G10">
        <v>6</v>
      </c>
      <c r="H10">
        <v>6</v>
      </c>
      <c r="I10">
        <v>4</v>
      </c>
      <c r="J10">
        <v>1</v>
      </c>
      <c r="L10" s="4"/>
      <c r="M10" s="4"/>
      <c r="N10" s="4"/>
    </row>
    <row r="11" spans="1:14" x14ac:dyDescent="0.25">
      <c r="A11" s="9">
        <v>96</v>
      </c>
      <c r="B11">
        <v>6</v>
      </c>
      <c r="C11">
        <v>6</v>
      </c>
      <c r="D11">
        <v>6</v>
      </c>
      <c r="E11">
        <v>6</v>
      </c>
      <c r="F11">
        <v>6</v>
      </c>
      <c r="G11">
        <v>6</v>
      </c>
      <c r="H11">
        <v>2</v>
      </c>
      <c r="I11">
        <v>0</v>
      </c>
      <c r="J11">
        <v>0</v>
      </c>
      <c r="L11" s="4"/>
      <c r="M11" s="4"/>
      <c r="N11" s="4"/>
    </row>
    <row r="12" spans="1:14" x14ac:dyDescent="0.25">
      <c r="A12" s="9">
        <v>120</v>
      </c>
      <c r="B12">
        <v>6</v>
      </c>
      <c r="C12">
        <v>6</v>
      </c>
      <c r="D12">
        <v>6</v>
      </c>
      <c r="E12">
        <v>6</v>
      </c>
      <c r="F12">
        <v>6</v>
      </c>
      <c r="G12">
        <v>6</v>
      </c>
      <c r="H12">
        <v>6</v>
      </c>
      <c r="I12">
        <v>2</v>
      </c>
      <c r="J12">
        <v>0</v>
      </c>
      <c r="L12" s="4"/>
      <c r="M12" s="4"/>
      <c r="N12" s="4"/>
    </row>
    <row r="13" spans="1:14" x14ac:dyDescent="0.25">
      <c r="A13" s="9">
        <v>144</v>
      </c>
      <c r="B13">
        <v>6</v>
      </c>
      <c r="C13">
        <v>6</v>
      </c>
      <c r="D13">
        <v>6</v>
      </c>
      <c r="E13">
        <v>6</v>
      </c>
      <c r="F13">
        <v>6</v>
      </c>
      <c r="G13">
        <v>2</v>
      </c>
      <c r="H13">
        <v>2</v>
      </c>
      <c r="I13">
        <v>0</v>
      </c>
      <c r="J13">
        <v>0</v>
      </c>
      <c r="L13" s="4"/>
      <c r="M13" s="4"/>
      <c r="N13" s="4"/>
    </row>
    <row r="14" spans="1:14" x14ac:dyDescent="0.25">
      <c r="A14" s="9">
        <v>168</v>
      </c>
      <c r="B14">
        <v>6</v>
      </c>
      <c r="C14">
        <v>6</v>
      </c>
      <c r="D14">
        <v>6</v>
      </c>
      <c r="E14">
        <v>6</v>
      </c>
      <c r="F14">
        <v>6</v>
      </c>
      <c r="G14">
        <v>6</v>
      </c>
      <c r="H14">
        <v>1</v>
      </c>
      <c r="I14">
        <v>0</v>
      </c>
      <c r="J14">
        <v>0</v>
      </c>
      <c r="L14" s="4"/>
      <c r="M14" s="4"/>
      <c r="N14" s="4"/>
    </row>
    <row r="15" spans="1:14" x14ac:dyDescent="0.25">
      <c r="B15" s="1"/>
      <c r="C15" s="1"/>
      <c r="D15" s="1"/>
    </row>
    <row r="16" spans="1:14" x14ac:dyDescent="0.25">
      <c r="B16" s="1"/>
      <c r="C16" s="1"/>
      <c r="D16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205F5-0025-4BCF-9D3F-D64D33AF6C32}">
  <dimension ref="A1:AB15"/>
  <sheetViews>
    <sheetView workbookViewId="0">
      <selection activeCell="Z2" sqref="Z2"/>
    </sheetView>
  </sheetViews>
  <sheetFormatPr defaultRowHeight="12.5" x14ac:dyDescent="0.25"/>
  <sheetData>
    <row r="1" spans="1:28" x14ac:dyDescent="0.25">
      <c r="A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Z1" t="s">
        <v>2</v>
      </c>
      <c r="AA1" s="1">
        <f>AVERAGE(N2:R10)</f>
        <v>7.105427357601002E-17</v>
      </c>
      <c r="AB1" s="1">
        <f>AVERAGE(T2:X10)</f>
        <v>0</v>
      </c>
    </row>
    <row r="2" spans="1:28" ht="14.5" x14ac:dyDescent="0.35">
      <c r="A2" s="9">
        <v>0</v>
      </c>
      <c r="B2" s="11">
        <v>798000</v>
      </c>
      <c r="C2" s="11">
        <v>979500</v>
      </c>
      <c r="D2" s="11">
        <v>1048500</v>
      </c>
      <c r="E2" s="11">
        <v>1650000</v>
      </c>
      <c r="F2" s="11">
        <v>1155000</v>
      </c>
      <c r="H2" s="11">
        <v>1023000</v>
      </c>
      <c r="I2" s="11">
        <v>1011000</v>
      </c>
      <c r="J2" s="11">
        <v>1485000</v>
      </c>
      <c r="K2" s="12">
        <v>1695000</v>
      </c>
      <c r="L2" s="12">
        <v>847500</v>
      </c>
      <c r="M2">
        <f t="shared" ref="M2:M10" si="0">GEOMEAN(B2:F2)</f>
        <v>1093272.2858139207</v>
      </c>
      <c r="N2" s="1">
        <f>LN(M2)-LN(B2)</f>
        <v>0.31482197755557273</v>
      </c>
      <c r="O2" s="1">
        <f>LN(M2)-LN(C2)</f>
        <v>0.10988833762078443</v>
      </c>
      <c r="P2" s="1">
        <f>LN(M2)-LN(D2)</f>
        <v>4.18147246634053E-2</v>
      </c>
      <c r="Q2" s="1">
        <f>LN(M2)-LN(E2)</f>
        <v>-0.41159999188924523</v>
      </c>
      <c r="R2" s="1">
        <f>LN(M2)-LN(F2)</f>
        <v>-5.4925047950513672E-2</v>
      </c>
      <c r="S2">
        <f t="shared" ref="S2:S10" si="1">GEOMEAN(H2:L2)</f>
        <v>1171473.6662737189</v>
      </c>
      <c r="T2" s="1">
        <f>LN(S2)-LN(H2)</f>
        <v>0.13552301310398462</v>
      </c>
      <c r="U2" s="1">
        <f>LN(S2)-LN(I2)</f>
        <v>0.14732256003513911</v>
      </c>
      <c r="V2" s="1">
        <f>LN(S2)-LN(J2)</f>
        <v>-0.23715227218118784</v>
      </c>
      <c r="W2" s="1">
        <f>LN(S2)-LN(K2)</f>
        <v>-0.36942024075893976</v>
      </c>
      <c r="X2" s="1">
        <f>LN(S2)-LN(L2)</f>
        <v>0.32372693980100564</v>
      </c>
      <c r="Z2" t="s">
        <v>3</v>
      </c>
      <c r="AA2">
        <f>_xlfn.STDEV.P(N2:R10)</f>
        <v>0.27760859809589961</v>
      </c>
      <c r="AB2">
        <f>_xlfn.STDEV.P(T2:X10)</f>
        <v>0.25883887398416938</v>
      </c>
    </row>
    <row r="3" spans="1:28" ht="14.5" x14ac:dyDescent="0.35">
      <c r="A3" s="9">
        <v>1</v>
      </c>
      <c r="B3" s="11">
        <v>822000</v>
      </c>
      <c r="C3" s="11">
        <v>1143000</v>
      </c>
      <c r="D3" s="11">
        <v>916500</v>
      </c>
      <c r="E3" s="11">
        <v>1650000</v>
      </c>
      <c r="F3" s="11">
        <v>916500</v>
      </c>
      <c r="H3" s="11">
        <v>1306500</v>
      </c>
      <c r="I3" s="11">
        <v>1137000</v>
      </c>
      <c r="J3" s="12">
        <v>936000</v>
      </c>
      <c r="K3" s="11">
        <v>1665000</v>
      </c>
      <c r="L3" s="12">
        <v>1023000</v>
      </c>
      <c r="M3">
        <f t="shared" si="0"/>
        <v>1054225.1826507803</v>
      </c>
      <c r="N3" s="1">
        <f>LN(M3)-LN(B3)</f>
        <v>0.24882095700484719</v>
      </c>
      <c r="O3" s="1">
        <f>LN(M3)-LN(C3)</f>
        <v>-8.0850311733783542E-2</v>
      </c>
      <c r="P3" s="1">
        <f>LN(M3)-LN(D3)</f>
        <v>0.13999928478126833</v>
      </c>
      <c r="Q3" s="1">
        <f>LN(M3)-LN(E3)</f>
        <v>-0.44796921483359853</v>
      </c>
      <c r="R3" s="1">
        <f>LN(M3)-LN(F3)</f>
        <v>0.13999928478126833</v>
      </c>
      <c r="S3">
        <f t="shared" si="1"/>
        <v>1188193.3565420806</v>
      </c>
      <c r="T3" s="1">
        <f>LN(S3)-LN(H3)</f>
        <v>-9.4917840249673091E-2</v>
      </c>
      <c r="U3" s="1">
        <f>LN(S3)-LN(I3)</f>
        <v>4.4040750960457231E-2</v>
      </c>
      <c r="V3" s="1">
        <f>LN(S3)-LN(J3)</f>
        <v>0.23857376823340104</v>
      </c>
      <c r="W3" s="1">
        <f>LN(S3)-LN(K3)</f>
        <v>-0.33739115770355177</v>
      </c>
      <c r="X3" s="1">
        <f>LN(S3)-LN(L3)</f>
        <v>0.14969447875936659</v>
      </c>
    </row>
    <row r="4" spans="1:28" ht="14.5" x14ac:dyDescent="0.35">
      <c r="A4" s="9">
        <v>4</v>
      </c>
      <c r="B4" s="11">
        <v>1054500</v>
      </c>
      <c r="C4" s="11">
        <v>1123500</v>
      </c>
      <c r="D4" s="2"/>
      <c r="E4" s="2"/>
      <c r="F4" s="2"/>
      <c r="H4" s="12">
        <v>973500</v>
      </c>
      <c r="I4" s="12">
        <v>1330500</v>
      </c>
      <c r="J4" s="2"/>
      <c r="K4" s="2"/>
      <c r="L4" s="2"/>
      <c r="M4">
        <f t="shared" si="0"/>
        <v>1088453.3752072249</v>
      </c>
      <c r="N4" s="1">
        <f>LN(M4)-LN(B4)</f>
        <v>3.1691045853277089E-2</v>
      </c>
      <c r="O4" s="1">
        <f>LN(M4)-LN(C4)</f>
        <v>-3.1691045853277089E-2</v>
      </c>
      <c r="P4" s="1"/>
      <c r="Q4" s="1"/>
      <c r="R4" s="1"/>
      <c r="S4">
        <f t="shared" si="1"/>
        <v>1138086.8815692412</v>
      </c>
      <c r="T4" s="1">
        <f>LN(S4)-LN(H4)</f>
        <v>0.15620613280274398</v>
      </c>
      <c r="U4" s="1">
        <f>LN(S4)-LN(I4)</f>
        <v>-0.15620613280274576</v>
      </c>
      <c r="V4" s="1"/>
      <c r="W4" s="1"/>
      <c r="X4" s="1"/>
      <c r="Y4" s="1"/>
      <c r="Z4" s="1"/>
      <c r="AA4" s="1"/>
    </row>
    <row r="5" spans="1:28" ht="14.5" x14ac:dyDescent="0.35">
      <c r="A5" s="9">
        <v>8</v>
      </c>
      <c r="B5" s="11">
        <v>1098000</v>
      </c>
      <c r="C5" s="11">
        <v>1086000</v>
      </c>
      <c r="D5" s="2"/>
      <c r="E5" s="2"/>
      <c r="F5" s="2"/>
      <c r="H5" s="12">
        <v>1092000</v>
      </c>
      <c r="I5" s="12">
        <v>1500000</v>
      </c>
      <c r="J5" s="2"/>
      <c r="K5" s="2"/>
      <c r="L5" s="2"/>
      <c r="M5">
        <f t="shared" si="0"/>
        <v>1091983.5163591069</v>
      </c>
      <c r="N5" s="1">
        <f>LN(M5)-LN(B5)</f>
        <v>-5.494560787797198E-3</v>
      </c>
      <c r="O5" s="1">
        <f>LN(M5)-LN(C5)</f>
        <v>5.494560787797198E-3</v>
      </c>
      <c r="P5" s="1"/>
      <c r="Q5" s="1"/>
      <c r="R5" s="1"/>
      <c r="S5">
        <f t="shared" si="1"/>
        <v>1279843.7404620924</v>
      </c>
      <c r="T5" s="1">
        <f>LN(S5)-LN(H5)</f>
        <v>0.15872711539272544</v>
      </c>
      <c r="U5" s="1">
        <f>LN(S5)-LN(I5)</f>
        <v>-0.15872711539272544</v>
      </c>
      <c r="V5" s="1"/>
      <c r="W5" s="1"/>
      <c r="X5" s="1"/>
      <c r="Y5" s="1"/>
      <c r="Z5" s="1"/>
      <c r="AA5" s="1"/>
    </row>
    <row r="6" spans="1:28" ht="14.5" x14ac:dyDescent="0.35">
      <c r="A6" s="9">
        <v>12</v>
      </c>
      <c r="B6" s="11">
        <v>1605000</v>
      </c>
      <c r="C6" s="11">
        <v>1755000</v>
      </c>
      <c r="D6" s="2"/>
      <c r="E6" s="2"/>
      <c r="F6" s="2"/>
      <c r="H6" s="12">
        <v>1275000</v>
      </c>
      <c r="I6" s="11">
        <v>1545000</v>
      </c>
      <c r="J6" s="2"/>
      <c r="K6" s="2"/>
      <c r="L6" s="2"/>
      <c r="M6">
        <f t="shared" si="0"/>
        <v>1678325.0579074365</v>
      </c>
      <c r="N6" s="1">
        <f>LN(M6)-LN(B6)</f>
        <v>4.467255016792393E-2</v>
      </c>
      <c r="O6" s="1">
        <f>LN(M6)-LN(C6)</f>
        <v>-4.4672550167925706E-2</v>
      </c>
      <c r="P6" s="1"/>
      <c r="Q6" s="1"/>
      <c r="R6" s="1"/>
      <c r="S6">
        <f t="shared" si="1"/>
        <v>1403522.3546491875</v>
      </c>
      <c r="T6" s="1">
        <f>LN(S6)-LN(H6)</f>
        <v>9.6038865869658707E-2</v>
      </c>
      <c r="U6" s="1">
        <f>LN(S6)-LN(I6)</f>
        <v>-9.6038865869660484E-2</v>
      </c>
      <c r="V6" s="1"/>
      <c r="W6" s="1"/>
      <c r="X6" s="1"/>
      <c r="Y6" s="1"/>
      <c r="Z6" s="1"/>
      <c r="AA6" s="1"/>
    </row>
    <row r="7" spans="1:28" ht="14.5" x14ac:dyDescent="0.35">
      <c r="A7" s="9">
        <v>18</v>
      </c>
      <c r="B7" s="2"/>
      <c r="C7" s="2"/>
      <c r="D7" s="11">
        <v>1605000</v>
      </c>
      <c r="E7" s="11">
        <v>3780000</v>
      </c>
      <c r="F7" s="2"/>
      <c r="H7" s="2"/>
      <c r="I7" s="2"/>
      <c r="J7" s="11">
        <v>1249500</v>
      </c>
      <c r="K7" s="12">
        <v>2430000</v>
      </c>
      <c r="L7" s="2"/>
      <c r="M7">
        <f t="shared" si="0"/>
        <v>2463107.7930127215</v>
      </c>
      <c r="N7" s="1"/>
      <c r="O7" s="1"/>
      <c r="P7" s="1">
        <f>LN(M7)-LN(D7)</f>
        <v>0.42830012652475702</v>
      </c>
      <c r="Q7" s="1">
        <f>LN(M7)-LN(E7)</f>
        <v>-0.4283001265247588</v>
      </c>
      <c r="R7" s="1"/>
      <c r="S7">
        <f t="shared" si="1"/>
        <v>1742493.9024283558</v>
      </c>
      <c r="T7" s="1"/>
      <c r="U7" s="1"/>
      <c r="V7" s="1">
        <f>LN(S7)-LN(J7)</f>
        <v>0.33257389302979234</v>
      </c>
      <c r="W7" s="1">
        <f>LN(S7)-LN(K7)</f>
        <v>-0.33257389302979412</v>
      </c>
      <c r="X7" s="1"/>
      <c r="Y7" s="1"/>
      <c r="Z7" s="1"/>
      <c r="AA7" s="1"/>
    </row>
    <row r="8" spans="1:28" x14ac:dyDescent="0.25">
      <c r="A8" s="9">
        <v>24</v>
      </c>
      <c r="B8" s="2"/>
      <c r="C8" s="2"/>
      <c r="D8" s="11">
        <v>1680000</v>
      </c>
      <c r="E8" s="11">
        <v>2760000</v>
      </c>
      <c r="F8" s="2"/>
      <c r="H8" s="2"/>
      <c r="I8" s="2"/>
      <c r="J8" s="11">
        <v>1312500</v>
      </c>
      <c r="K8" s="11">
        <v>1500000</v>
      </c>
      <c r="L8" s="2"/>
      <c r="M8">
        <f t="shared" si="0"/>
        <v>2153323.0133911632</v>
      </c>
      <c r="N8" s="1"/>
      <c r="O8" s="1"/>
      <c r="P8" s="1">
        <f>LN(M8)-LN(D8)</f>
        <v>0.24821844315694541</v>
      </c>
      <c r="Q8" s="1">
        <f>LN(M8)-LN(E8)</f>
        <v>-0.24821844315694541</v>
      </c>
      <c r="R8" s="1"/>
      <c r="S8">
        <f t="shared" si="1"/>
        <v>1403121.520040228</v>
      </c>
      <c r="T8" s="1"/>
      <c r="U8" s="1"/>
      <c r="V8" s="1">
        <f>LN(S8)-LN(J8)</f>
        <v>6.6765696312261369E-2</v>
      </c>
      <c r="W8" s="1">
        <f>LN(S8)-LN(K8)</f>
        <v>-6.6765696312261369E-2</v>
      </c>
      <c r="X8" s="1"/>
      <c r="Y8" s="1"/>
      <c r="Z8" s="1"/>
      <c r="AA8" s="1"/>
    </row>
    <row r="9" spans="1:28" x14ac:dyDescent="0.25">
      <c r="A9" s="9">
        <v>48</v>
      </c>
      <c r="B9" s="2"/>
      <c r="C9" s="2"/>
      <c r="D9" s="11">
        <v>1515000</v>
      </c>
      <c r="E9" s="11">
        <v>1980000</v>
      </c>
      <c r="F9" s="2"/>
      <c r="H9" s="2"/>
      <c r="I9" s="2"/>
      <c r="J9" s="11">
        <v>904500</v>
      </c>
      <c r="K9" s="11">
        <v>1267500</v>
      </c>
      <c r="L9" s="2"/>
      <c r="M9">
        <f t="shared" si="0"/>
        <v>1731964.202863327</v>
      </c>
      <c r="N9" s="1"/>
      <c r="O9" s="1"/>
      <c r="P9" s="1">
        <f>LN(M9)-LN(D9)</f>
        <v>0.13384070287255589</v>
      </c>
      <c r="Q9" s="1">
        <f>LN(M9)-LN(E9)</f>
        <v>-0.13384070287255589</v>
      </c>
      <c r="R9" s="1"/>
      <c r="S9">
        <f t="shared" si="1"/>
        <v>1070725.8052368029</v>
      </c>
      <c r="T9" s="1"/>
      <c r="U9" s="1"/>
      <c r="V9" s="1">
        <f>LN(S9)-LN(J9)</f>
        <v>0.16870971531499457</v>
      </c>
      <c r="W9" s="1">
        <f>LN(S9)-LN(K9)</f>
        <v>-0.16870971531499279</v>
      </c>
      <c r="X9" s="1"/>
      <c r="Y9" s="1"/>
      <c r="Z9" s="1"/>
      <c r="AA9" s="1"/>
    </row>
    <row r="10" spans="1:28" ht="14.5" x14ac:dyDescent="0.35">
      <c r="A10" s="9">
        <v>72</v>
      </c>
      <c r="B10" s="2"/>
      <c r="C10" s="2"/>
      <c r="D10" s="11">
        <v>1167000</v>
      </c>
      <c r="E10" s="11">
        <v>1620000</v>
      </c>
      <c r="F10" s="11">
        <v>477000</v>
      </c>
      <c r="H10" s="2"/>
      <c r="I10" s="2"/>
      <c r="J10" s="11">
        <v>891000</v>
      </c>
      <c r="K10" s="11">
        <v>1362000</v>
      </c>
      <c r="L10" s="12">
        <v>414000</v>
      </c>
      <c r="M10">
        <f t="shared" si="0"/>
        <v>966128.18020540883</v>
      </c>
      <c r="N10" s="1"/>
      <c r="O10" s="1"/>
      <c r="P10" s="1">
        <f>LN(M10)-LN(D10)</f>
        <v>-0.18889511515278024</v>
      </c>
      <c r="Q10" s="1">
        <f>LN(M10)-LN(E10)</f>
        <v>-0.51688491109265478</v>
      </c>
      <c r="R10" s="1">
        <f>LN(M10)-LN(F10)</f>
        <v>0.70578002624543501</v>
      </c>
      <c r="S10">
        <f t="shared" si="1"/>
        <v>794971.78967181442</v>
      </c>
      <c r="T10" s="1"/>
      <c r="U10" s="1"/>
      <c r="V10" s="1">
        <f>LN(S10)-LN(J10)</f>
        <v>-0.11403779813561421</v>
      </c>
      <c r="W10" s="1">
        <f>LN(S10)-LN(K10)</f>
        <v>-0.53840285737426363</v>
      </c>
      <c r="X10" s="1">
        <f>LN(S10)-LN(L10)</f>
        <v>0.65244065550987962</v>
      </c>
      <c r="Y10" s="1"/>
      <c r="Z10" s="1"/>
      <c r="AA10" s="1"/>
    </row>
    <row r="11" spans="1:28" ht="14.5" x14ac:dyDescent="0.35">
      <c r="A11" s="9">
        <v>96</v>
      </c>
      <c r="B11" s="2"/>
      <c r="C11" s="2"/>
      <c r="D11" s="2"/>
      <c r="E11" s="2"/>
      <c r="F11" s="11">
        <v>420000</v>
      </c>
      <c r="H11" s="2"/>
      <c r="I11" s="2"/>
      <c r="J11" s="2"/>
      <c r="K11" s="2"/>
      <c r="L11" s="12">
        <v>238500</v>
      </c>
      <c r="M11" s="10"/>
      <c r="N11" s="1"/>
      <c r="P11" s="1"/>
      <c r="T11" s="1"/>
      <c r="Y11" s="1"/>
      <c r="Z11" s="1"/>
      <c r="AA11" s="1"/>
    </row>
    <row r="12" spans="1:28" x14ac:dyDescent="0.25">
      <c r="A12" s="9">
        <v>120</v>
      </c>
      <c r="B12" s="2"/>
      <c r="C12" s="2"/>
      <c r="D12" s="2"/>
      <c r="E12" s="2"/>
      <c r="F12" s="11">
        <v>276000</v>
      </c>
      <c r="H12" s="2"/>
      <c r="I12" s="2"/>
      <c r="J12" s="2"/>
      <c r="K12" s="2"/>
      <c r="L12" s="11">
        <v>238500</v>
      </c>
      <c r="M12" s="9"/>
      <c r="N12" s="1"/>
      <c r="P12" s="1"/>
      <c r="T12" s="1"/>
      <c r="Y12" s="1"/>
      <c r="Z12" s="1"/>
      <c r="AA12" s="1"/>
    </row>
    <row r="13" spans="1:28" x14ac:dyDescent="0.25">
      <c r="A13" s="9">
        <v>144</v>
      </c>
      <c r="B13" s="2"/>
      <c r="C13" s="2"/>
      <c r="D13" s="2"/>
      <c r="E13" s="2"/>
      <c r="F13" s="11">
        <v>175500</v>
      </c>
      <c r="H13" s="2"/>
      <c r="I13" s="2"/>
      <c r="J13" s="2"/>
      <c r="K13" s="2"/>
      <c r="L13" s="11">
        <v>43950</v>
      </c>
      <c r="M13" s="9"/>
      <c r="N13" s="1"/>
      <c r="P13" s="1"/>
      <c r="T13" s="1"/>
      <c r="Y13" s="1"/>
      <c r="Z13" s="1"/>
      <c r="AA13" s="1"/>
    </row>
    <row r="14" spans="1:28" x14ac:dyDescent="0.25">
      <c r="A14" s="9">
        <v>168</v>
      </c>
      <c r="B14" s="2"/>
      <c r="C14" s="2"/>
      <c r="D14" s="2"/>
      <c r="E14" s="2"/>
      <c r="F14" s="11">
        <v>94200</v>
      </c>
      <c r="H14" s="2"/>
      <c r="I14" s="2"/>
      <c r="J14" s="2"/>
      <c r="K14" s="2"/>
      <c r="L14" s="11">
        <v>50250</v>
      </c>
      <c r="M14" s="9"/>
      <c r="N14" s="1"/>
      <c r="P14" s="1"/>
      <c r="T14" s="1"/>
      <c r="Y14" s="1"/>
      <c r="Z14" s="1"/>
      <c r="AA14" s="1"/>
    </row>
    <row r="15" spans="1:28" x14ac:dyDescent="0.25">
      <c r="M15" s="9"/>
      <c r="N15" s="1"/>
      <c r="P15" s="1"/>
      <c r="T15" s="1"/>
      <c r="Y15" s="1"/>
      <c r="Z15" s="1"/>
      <c r="AA15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CD1C4-7508-4D43-8E49-57A1127D40F3}">
  <dimension ref="A1:H7"/>
  <sheetViews>
    <sheetView workbookViewId="0">
      <selection activeCell="I1" sqref="I1:I7"/>
    </sheetView>
  </sheetViews>
  <sheetFormatPr defaultRowHeight="12.5" x14ac:dyDescent="0.25"/>
  <sheetData>
    <row r="1" spans="1:8" ht="15.5" x14ac:dyDescent="0.25">
      <c r="A1" t="s">
        <v>0</v>
      </c>
      <c r="B1" s="6">
        <v>0.1</v>
      </c>
      <c r="C1" s="6">
        <v>0.01</v>
      </c>
      <c r="D1" s="6">
        <v>1E-3</v>
      </c>
      <c r="E1" s="6">
        <v>1E-4</v>
      </c>
      <c r="F1" s="6">
        <v>1.0000000000000001E-5</v>
      </c>
      <c r="G1" s="6">
        <v>9.9999999999999995E-7</v>
      </c>
      <c r="H1" t="s">
        <v>1</v>
      </c>
    </row>
    <row r="2" spans="1:8" x14ac:dyDescent="0.25">
      <c r="A2">
        <v>0</v>
      </c>
      <c r="B2" s="7">
        <v>6</v>
      </c>
      <c r="C2" s="7">
        <v>6</v>
      </c>
      <c r="D2" s="7">
        <v>6</v>
      </c>
      <c r="E2" s="7">
        <v>6</v>
      </c>
      <c r="F2" s="7">
        <v>2</v>
      </c>
      <c r="G2" s="7">
        <v>0</v>
      </c>
      <c r="H2" s="7">
        <v>0.78</v>
      </c>
    </row>
    <row r="3" spans="1:8" ht="15.5" x14ac:dyDescent="0.35">
      <c r="A3">
        <v>24</v>
      </c>
      <c r="B3" s="7">
        <v>6</v>
      </c>
      <c r="C3" s="7">
        <v>6</v>
      </c>
      <c r="D3" s="7">
        <v>6</v>
      </c>
      <c r="E3" s="8">
        <v>4</v>
      </c>
      <c r="F3" s="7">
        <v>2</v>
      </c>
      <c r="G3" s="7">
        <v>1</v>
      </c>
      <c r="H3" s="7">
        <v>0.74</v>
      </c>
    </row>
    <row r="4" spans="1:8" ht="15.5" x14ac:dyDescent="0.35">
      <c r="A4">
        <v>48</v>
      </c>
      <c r="B4" s="7">
        <v>6</v>
      </c>
      <c r="C4" s="7">
        <v>6</v>
      </c>
      <c r="D4" s="7">
        <v>6</v>
      </c>
      <c r="E4" s="8">
        <v>3</v>
      </c>
      <c r="F4" s="7">
        <v>0</v>
      </c>
      <c r="G4" s="7">
        <v>0</v>
      </c>
      <c r="H4" s="7">
        <v>0.73</v>
      </c>
    </row>
    <row r="5" spans="1:8" ht="15.5" x14ac:dyDescent="0.35">
      <c r="A5">
        <v>72</v>
      </c>
      <c r="B5" s="7">
        <v>6</v>
      </c>
      <c r="C5" s="7">
        <v>6</v>
      </c>
      <c r="D5" s="8">
        <v>5</v>
      </c>
      <c r="E5" s="7">
        <v>2</v>
      </c>
      <c r="F5" s="7">
        <v>0</v>
      </c>
      <c r="G5" s="7">
        <v>0</v>
      </c>
      <c r="H5" s="7">
        <v>0.73</v>
      </c>
    </row>
    <row r="6" spans="1:8" x14ac:dyDescent="0.25">
      <c r="A6">
        <v>96</v>
      </c>
      <c r="B6" s="7">
        <v>6</v>
      </c>
      <c r="C6" s="7">
        <v>5</v>
      </c>
      <c r="D6" s="7">
        <v>1</v>
      </c>
      <c r="E6" s="7">
        <v>0</v>
      </c>
      <c r="F6" s="7">
        <v>0</v>
      </c>
      <c r="G6" s="7">
        <v>0</v>
      </c>
      <c r="H6" s="7">
        <v>0.72</v>
      </c>
    </row>
    <row r="7" spans="1:8" x14ac:dyDescent="0.25">
      <c r="A7">
        <v>120</v>
      </c>
      <c r="B7" s="7">
        <v>3</v>
      </c>
      <c r="C7" s="7">
        <v>3</v>
      </c>
      <c r="D7" s="7">
        <v>1</v>
      </c>
      <c r="E7" s="7">
        <v>0</v>
      </c>
      <c r="F7" s="7">
        <v>0</v>
      </c>
      <c r="G7" s="7">
        <v>0</v>
      </c>
      <c r="H7" s="7">
        <v>0.7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2AB50-49A1-484D-AC5D-82029B16F2E8}">
  <dimension ref="A1:H7"/>
  <sheetViews>
    <sheetView workbookViewId="0">
      <selection activeCell="C9" sqref="C9"/>
    </sheetView>
  </sheetViews>
  <sheetFormatPr defaultRowHeight="12.5" x14ac:dyDescent="0.25"/>
  <sheetData>
    <row r="1" spans="1:8" ht="15.5" x14ac:dyDescent="0.25">
      <c r="A1" t="s">
        <v>0</v>
      </c>
      <c r="B1" s="6">
        <v>0.1</v>
      </c>
      <c r="C1" s="6">
        <v>0.01</v>
      </c>
      <c r="D1" s="6">
        <v>1E-3</v>
      </c>
      <c r="E1" s="6">
        <v>1E-4</v>
      </c>
      <c r="F1" s="6">
        <v>1.0000000000000001E-5</v>
      </c>
      <c r="G1" s="6">
        <v>9.9999999999999995E-7</v>
      </c>
      <c r="H1" t="s">
        <v>1</v>
      </c>
    </row>
    <row r="2" spans="1:8" x14ac:dyDescent="0.25">
      <c r="A2">
        <v>0</v>
      </c>
      <c r="B2" s="7">
        <v>6</v>
      </c>
      <c r="C2" s="7">
        <v>6</v>
      </c>
      <c r="D2" s="7">
        <v>6</v>
      </c>
      <c r="E2" s="7">
        <v>6</v>
      </c>
      <c r="F2" s="7">
        <v>1</v>
      </c>
      <c r="G2" s="7">
        <v>0</v>
      </c>
      <c r="H2" s="7">
        <v>0.75</v>
      </c>
    </row>
    <row r="3" spans="1:8" x14ac:dyDescent="0.25">
      <c r="A3">
        <v>24</v>
      </c>
      <c r="B3" s="7">
        <v>6</v>
      </c>
      <c r="C3" s="7">
        <v>6</v>
      </c>
      <c r="D3" s="7">
        <v>6</v>
      </c>
      <c r="E3" s="7">
        <v>5</v>
      </c>
      <c r="F3" s="7">
        <v>0</v>
      </c>
      <c r="G3" s="7">
        <v>0</v>
      </c>
      <c r="H3" s="7">
        <v>0.77</v>
      </c>
    </row>
    <row r="4" spans="1:8" x14ac:dyDescent="0.25">
      <c r="A4">
        <v>48</v>
      </c>
      <c r="B4" s="7">
        <v>6</v>
      </c>
      <c r="C4" s="7">
        <v>6</v>
      </c>
      <c r="D4" s="7">
        <v>6</v>
      </c>
      <c r="E4" s="7">
        <v>3</v>
      </c>
      <c r="F4" s="7">
        <v>0</v>
      </c>
      <c r="G4" s="7">
        <v>0</v>
      </c>
      <c r="H4" s="7">
        <v>0.75</v>
      </c>
    </row>
    <row r="5" spans="1:8" x14ac:dyDescent="0.25">
      <c r="A5">
        <v>72</v>
      </c>
      <c r="B5" s="7">
        <v>6</v>
      </c>
      <c r="C5" s="7">
        <v>6</v>
      </c>
      <c r="D5" s="7">
        <v>5</v>
      </c>
      <c r="E5" s="7">
        <v>1</v>
      </c>
      <c r="F5" s="7">
        <v>0</v>
      </c>
      <c r="G5" s="7">
        <v>0</v>
      </c>
      <c r="H5" s="7">
        <v>0.74</v>
      </c>
    </row>
    <row r="6" spans="1:8" x14ac:dyDescent="0.25">
      <c r="A6">
        <v>96</v>
      </c>
      <c r="B6" s="7">
        <v>6</v>
      </c>
      <c r="C6" s="7">
        <v>6</v>
      </c>
      <c r="D6" s="7">
        <v>5</v>
      </c>
      <c r="E6" s="7">
        <v>1</v>
      </c>
      <c r="F6" s="7">
        <v>0</v>
      </c>
      <c r="G6" s="7">
        <v>0</v>
      </c>
      <c r="H6" s="7">
        <v>0.75</v>
      </c>
    </row>
    <row r="7" spans="1:8" ht="15.5" x14ac:dyDescent="0.35">
      <c r="A7">
        <v>120</v>
      </c>
      <c r="B7" s="8">
        <v>1</v>
      </c>
      <c r="C7" s="8">
        <v>2</v>
      </c>
      <c r="D7" s="7">
        <v>1</v>
      </c>
      <c r="E7" s="7">
        <v>0</v>
      </c>
      <c r="F7" s="7">
        <v>0</v>
      </c>
      <c r="G7" s="7">
        <v>0</v>
      </c>
      <c r="H7" s="7">
        <v>0.75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C2106-61C2-4077-B535-7AF8CE9AA3D0}">
  <dimension ref="A1:H7"/>
  <sheetViews>
    <sheetView tabSelected="1" workbookViewId="0">
      <selection activeCell="F14" sqref="F14"/>
    </sheetView>
  </sheetViews>
  <sheetFormatPr defaultRowHeight="12.5" x14ac:dyDescent="0.25"/>
  <sheetData>
    <row r="1" spans="1:8" ht="15.5" x14ac:dyDescent="0.25">
      <c r="A1" t="s">
        <v>0</v>
      </c>
      <c r="B1" s="6">
        <v>0.1</v>
      </c>
      <c r="C1" s="6">
        <v>0.01</v>
      </c>
      <c r="D1" s="6">
        <v>1E-3</v>
      </c>
      <c r="E1" s="6">
        <v>1E-4</v>
      </c>
      <c r="F1" s="6">
        <v>1.0000000000000001E-5</v>
      </c>
      <c r="G1" s="6">
        <v>9.9999999999999995E-7</v>
      </c>
      <c r="H1" t="s">
        <v>1</v>
      </c>
    </row>
    <row r="2" spans="1:8" x14ac:dyDescent="0.25">
      <c r="A2">
        <v>0</v>
      </c>
      <c r="B2" s="7">
        <v>6</v>
      </c>
      <c r="C2" s="7">
        <v>6</v>
      </c>
      <c r="D2" s="7">
        <v>6</v>
      </c>
      <c r="E2" s="7">
        <v>6</v>
      </c>
      <c r="F2" s="7">
        <v>3</v>
      </c>
      <c r="G2" s="7">
        <v>0</v>
      </c>
      <c r="H2" s="7">
        <v>0.77</v>
      </c>
    </row>
    <row r="3" spans="1:8" x14ac:dyDescent="0.25">
      <c r="A3">
        <v>24</v>
      </c>
      <c r="B3" s="7">
        <v>6</v>
      </c>
      <c r="C3" s="7">
        <v>6</v>
      </c>
      <c r="D3" s="7">
        <v>6</v>
      </c>
      <c r="E3" s="7">
        <v>5</v>
      </c>
      <c r="F3" s="7">
        <v>2</v>
      </c>
      <c r="G3" s="7">
        <v>0</v>
      </c>
      <c r="H3" s="7">
        <v>0.75</v>
      </c>
    </row>
    <row r="4" spans="1:8" x14ac:dyDescent="0.25">
      <c r="A4">
        <v>48</v>
      </c>
      <c r="B4" s="7">
        <v>6</v>
      </c>
      <c r="C4" s="7">
        <v>6</v>
      </c>
      <c r="D4" s="7">
        <v>6</v>
      </c>
      <c r="E4" s="7">
        <v>2</v>
      </c>
      <c r="F4" s="7">
        <v>0</v>
      </c>
      <c r="G4" s="7">
        <v>0</v>
      </c>
      <c r="H4" s="7">
        <v>0.75</v>
      </c>
    </row>
    <row r="5" spans="1:8" x14ac:dyDescent="0.25">
      <c r="A5">
        <v>72</v>
      </c>
      <c r="B5" s="7">
        <v>6</v>
      </c>
      <c r="C5" s="7">
        <v>6</v>
      </c>
      <c r="D5" s="7">
        <v>6</v>
      </c>
      <c r="E5" s="7">
        <v>1</v>
      </c>
      <c r="F5" s="7">
        <v>0</v>
      </c>
      <c r="G5" s="7">
        <v>0</v>
      </c>
      <c r="H5" s="7">
        <v>0.76</v>
      </c>
    </row>
    <row r="6" spans="1:8" x14ac:dyDescent="0.25">
      <c r="A6">
        <v>96</v>
      </c>
      <c r="B6" s="7">
        <v>6</v>
      </c>
      <c r="C6" s="7">
        <v>6</v>
      </c>
      <c r="D6" s="7">
        <v>1</v>
      </c>
      <c r="E6" s="7">
        <v>0</v>
      </c>
      <c r="F6" s="7">
        <v>0</v>
      </c>
      <c r="G6" s="7">
        <v>0</v>
      </c>
      <c r="H6" s="7">
        <v>0.72</v>
      </c>
    </row>
    <row r="7" spans="1:8" ht="15.5" x14ac:dyDescent="0.35">
      <c r="A7">
        <v>120</v>
      </c>
      <c r="B7" s="8">
        <v>1</v>
      </c>
      <c r="C7" s="8">
        <v>2</v>
      </c>
      <c r="D7" s="7">
        <v>0</v>
      </c>
      <c r="E7" s="7">
        <v>0</v>
      </c>
      <c r="F7" s="7">
        <v>0</v>
      </c>
      <c r="G7" s="7">
        <v>0</v>
      </c>
      <c r="H7" s="7">
        <v>0.65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996b3bb-cdf3-4209-96f2-6584f728997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83153969EF6C4FB6930E47EC9B1D56" ma:contentTypeVersion="16" ma:contentTypeDescription="Create a new document." ma:contentTypeScope="" ma:versionID="a38487c6eb3f379a619feff187dd0538">
  <xsd:schema xmlns:xsd="http://www.w3.org/2001/XMLSchema" xmlns:xs="http://www.w3.org/2001/XMLSchema" xmlns:p="http://schemas.microsoft.com/office/2006/metadata/properties" xmlns:ns3="4996b3bb-cdf3-4209-96f2-6584f7289973" xmlns:ns4="2c4fc79f-b1cc-4575-8e4c-f462aaf5a71a" targetNamespace="http://schemas.microsoft.com/office/2006/metadata/properties" ma:root="true" ma:fieldsID="8c3abcbd6aae4cd2c23bec81efeccfaf" ns3:_="" ns4:_="">
    <xsd:import namespace="4996b3bb-cdf3-4209-96f2-6584f7289973"/>
    <xsd:import namespace="2c4fc79f-b1cc-4575-8e4c-f462aaf5a7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MediaServiceSystemTag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6b3bb-cdf3-4209-96f2-6584f72899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fc79f-b1cc-4575-8e4c-f462aaf5a71a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693605-073E-4C4F-B1B5-3740CE77AA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72A476-E634-41C0-8024-258AC9366C9D}">
  <ds:schemaRefs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terms/"/>
    <ds:schemaRef ds:uri="2c4fc79f-b1cc-4575-8e4c-f462aaf5a71a"/>
    <ds:schemaRef ds:uri="http://schemas.microsoft.com/office/2006/documentManagement/types"/>
    <ds:schemaRef ds:uri="4996b3bb-cdf3-4209-96f2-6584f7289973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BAA70D8-C4DF-4ECE-9CB4-9DC1306CEE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96b3bb-cdf3-4209-96f2-6584f7289973"/>
    <ds:schemaRef ds:uri="2c4fc79f-b1cc-4575-8e4c-f462aaf5a7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low MOI R1</vt:lpstr>
      <vt:lpstr>low MOI R2</vt:lpstr>
      <vt:lpstr>low MOI R3</vt:lpstr>
      <vt:lpstr>low MOI R4</vt:lpstr>
      <vt:lpstr>low MOI R5</vt:lpstr>
      <vt:lpstr>high MOI R1</vt:lpstr>
      <vt:lpstr>high MOI R2</vt:lpstr>
      <vt:lpstr>high MOI R3</vt:lpstr>
      <vt:lpstr>high MOI R4</vt:lpstr>
      <vt:lpstr>high MOI R5</vt:lpstr>
      <vt:lpstr>cell number</vt:lpstr>
      <vt:lpstr>decay R1</vt:lpstr>
      <vt:lpstr>decay R2</vt:lpstr>
      <vt:lpstr>decay R3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Bevelynn Williams</dc:creator>
  <cp:lastModifiedBy>Bevelynn Whaler</cp:lastModifiedBy>
  <dcterms:created xsi:type="dcterms:W3CDTF">2023-11-06T07:28:49Z</dcterms:created>
  <dcterms:modified xsi:type="dcterms:W3CDTF">2026-05-27T15:27:21Z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0x010100DF83153969EF6C4FB6930E47EC9B1D56</vt:lpwstr>
  </property>
</Properties>
</file>